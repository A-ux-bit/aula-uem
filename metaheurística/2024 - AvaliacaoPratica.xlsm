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P-Aluno\Downloads\"/>
    </mc:Choice>
  </mc:AlternateContent>
  <xr:revisionPtr revIDLastSave="0" documentId="13_ncr:1_{1115B7B8-BA67-41BE-AEE4-5A4AE00A09D3}" xr6:coauthVersionLast="47" xr6:coauthVersionMax="47" xr10:uidLastSave="{00000000-0000-0000-0000-000000000000}"/>
  <bookViews>
    <workbookView xWindow="-120" yWindow="-120" windowWidth="21840" windowHeight="13020" activeTab="4" xr2:uid="{00000000-000D-0000-FFFF-FFFF00000000}"/>
  </bookViews>
  <sheets>
    <sheet name="Dados" sheetId="4" r:id="rId1"/>
    <sheet name="Solução" sheetId="2" r:id="rId2"/>
    <sheet name="Tipo01" sheetId="1" state="veryHidden" r:id="rId3"/>
    <sheet name="Tipo02" sheetId="3" state="veryHidden" r:id="rId4"/>
    <sheet name="Tipo03" sheetId="5" r:id="rId5"/>
    <sheet name="Tipo04" sheetId="6" state="veryHidden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6" l="1"/>
  <c r="F7" i="5"/>
  <c r="H7" i="3"/>
  <c r="F7" i="1"/>
  <c r="B6" i="5" l="1"/>
  <c r="B6" i="3"/>
  <c r="B6" i="1"/>
  <c r="B6" i="6"/>
  <c r="B4" i="6"/>
  <c r="B4" i="5"/>
  <c r="B4" i="3"/>
  <c r="B4" i="1"/>
  <c r="B7" i="5"/>
  <c r="F8" i="5" l="1"/>
  <c r="F8" i="1" l="1"/>
  <c r="H8" i="3" l="1"/>
  <c r="B7" i="3"/>
  <c r="F8" i="6"/>
  <c r="L2" i="6" s="1"/>
  <c r="M2" i="6" s="1"/>
  <c r="B7" i="6"/>
  <c r="M2" i="5"/>
  <c r="N2" i="5" s="1"/>
  <c r="L1" i="6" l="1"/>
  <c r="M1" i="6" s="1"/>
  <c r="M1" i="5"/>
  <c r="N1" i="5" s="1"/>
  <c r="O2" i="5"/>
  <c r="P2" i="5" s="1"/>
  <c r="N2" i="6"/>
  <c r="O2" i="6" s="1"/>
  <c r="N1" i="6" l="1"/>
  <c r="O1" i="6" s="1"/>
  <c r="O1" i="5"/>
  <c r="Q2" i="5"/>
  <c r="P2" i="6"/>
  <c r="P1" i="5" l="1"/>
  <c r="R2" i="5"/>
  <c r="P1" i="6"/>
  <c r="Q2" i="6"/>
  <c r="O7" i="6"/>
  <c r="Q1" i="5" l="1"/>
  <c r="R1" i="5" s="1"/>
  <c r="P7" i="5"/>
  <c r="P5" i="6"/>
  <c r="Q1" i="6"/>
  <c r="T3" i="6" l="1"/>
  <c r="T6" i="6" s="1"/>
  <c r="F21" i="6" s="1"/>
  <c r="O8" i="6"/>
  <c r="O10" i="6" s="1"/>
  <c r="B24" i="6" s="1"/>
  <c r="R5" i="5"/>
  <c r="C17" i="5" s="1"/>
  <c r="C19" i="5" s="1"/>
  <c r="P8" i="5"/>
  <c r="P10" i="5" s="1"/>
  <c r="B23" i="5" s="1"/>
  <c r="S3" i="6"/>
  <c r="E18" i="6" s="1"/>
  <c r="Q6" i="6"/>
  <c r="D21" i="6" s="1"/>
  <c r="Q5" i="6"/>
  <c r="D20" i="6" s="1"/>
  <c r="D18" i="6"/>
  <c r="P6" i="6"/>
  <c r="D19" i="6" s="1"/>
  <c r="S7" i="5"/>
  <c r="F18" i="6" l="1"/>
  <c r="T4" i="6"/>
  <c r="F19" i="6" s="1"/>
  <c r="T5" i="6"/>
  <c r="F20" i="6" s="1"/>
  <c r="C18" i="5"/>
  <c r="S4" i="6"/>
  <c r="E19" i="6" s="1"/>
  <c r="S5" i="6"/>
  <c r="E20" i="6" s="1"/>
  <c r="S6" i="6"/>
  <c r="E21" i="6" s="1"/>
  <c r="S6" i="5"/>
  <c r="G18" i="5" s="1"/>
  <c r="G19" i="5"/>
  <c r="S5" i="5"/>
  <c r="G17" i="5" s="1"/>
  <c r="N2" i="4"/>
  <c r="N1" i="4"/>
  <c r="B7" i="1"/>
  <c r="N2" i="3"/>
  <c r="N1" i="3"/>
  <c r="O2" i="4" l="1"/>
  <c r="P2" i="4" s="1"/>
  <c r="O1" i="4"/>
  <c r="O1" i="3"/>
  <c r="O2" i="3"/>
  <c r="P1" i="3" l="1"/>
  <c r="Q1" i="3" s="1"/>
  <c r="Q2" i="4"/>
  <c r="R2" i="4" s="1"/>
  <c r="S2" i="4" s="1"/>
  <c r="P1" i="4"/>
  <c r="P2" i="3"/>
  <c r="Q1" i="4" l="1"/>
  <c r="R1" i="4" s="1"/>
  <c r="R1" i="3"/>
  <c r="S1" i="3" s="1"/>
  <c r="T2" i="3" s="1"/>
  <c r="T3" i="3" s="1"/>
  <c r="P6" i="3"/>
  <c r="Q2" i="3"/>
  <c r="Q6" i="3" s="1"/>
  <c r="G15" i="3" s="1"/>
  <c r="S1" i="4" l="1"/>
  <c r="T1" i="4" s="1"/>
  <c r="U1" i="4" s="1"/>
  <c r="D15" i="3"/>
  <c r="P5" i="3"/>
  <c r="R2" i="3"/>
  <c r="D14" i="3" l="1"/>
  <c r="N3" i="4"/>
  <c r="T2" i="4" s="1"/>
  <c r="Q5" i="3"/>
  <c r="P7" i="3"/>
  <c r="S2" i="3"/>
  <c r="S5" i="3" s="1"/>
  <c r="P10" i="3"/>
  <c r="B19" i="3" s="1"/>
  <c r="J2" i="1"/>
  <c r="J1" i="1"/>
  <c r="D16" i="3" l="1"/>
  <c r="Q7" i="3"/>
  <c r="G16" i="3" s="1"/>
  <c r="G14" i="3"/>
  <c r="D17" i="3"/>
  <c r="T5" i="3"/>
  <c r="G17" i="3" s="1"/>
  <c r="K1" i="1"/>
  <c r="K2" i="1"/>
  <c r="L1" i="1" l="1"/>
  <c r="O7" i="1" s="1"/>
  <c r="L2" i="1"/>
  <c r="M2" i="1" l="1"/>
  <c r="O6" i="1" s="1"/>
  <c r="M5" i="1"/>
  <c r="D20" i="1" s="1"/>
  <c r="M1" i="1"/>
  <c r="O5" i="1" s="1"/>
  <c r="N2" i="1" l="1"/>
  <c r="N7" i="1" s="1"/>
  <c r="E22" i="1" s="1"/>
  <c r="D21" i="1"/>
  <c r="D22" i="1" s="1"/>
  <c r="N1" i="1"/>
  <c r="N6" i="1" s="1"/>
  <c r="E21" i="1" s="1"/>
  <c r="O1" i="1" l="1"/>
  <c r="O2" i="1"/>
  <c r="F22" i="1" s="1"/>
  <c r="F21" i="1"/>
  <c r="N5" i="1" l="1"/>
  <c r="E20" i="1" s="1"/>
  <c r="M7" i="1"/>
  <c r="M8" i="1" s="1"/>
  <c r="M10" i="1" s="1"/>
  <c r="B25" i="1" s="1"/>
  <c r="M6" i="1"/>
  <c r="C20" i="1" s="1"/>
  <c r="C21" i="1" l="1"/>
  <c r="C22" i="1" s="1"/>
</calcChain>
</file>

<file path=xl/sharedStrings.xml><?xml version="1.0" encoding="utf-8"?>
<sst xmlns="http://schemas.openxmlformats.org/spreadsheetml/2006/main" count="80" uniqueCount="59">
  <si>
    <t>Departamento de Engenharia de Produção</t>
  </si>
  <si>
    <t>Disciplina: Meta-heurísticas aplicadas à Engenharia de Produçao</t>
  </si>
  <si>
    <t>RA</t>
  </si>
  <si>
    <t>1ª Avaliação - Parte Prática</t>
  </si>
  <si>
    <t>1ª Avaliação - Parte prática</t>
  </si>
  <si>
    <t xml:space="preserve">   </t>
  </si>
  <si>
    <t>Aparelho</t>
  </si>
  <si>
    <t>Custo</t>
  </si>
  <si>
    <t>Necessidade de pessoal</t>
  </si>
  <si>
    <t>Eficiência no Incêndio</t>
  </si>
  <si>
    <t>Pilotos</t>
  </si>
  <si>
    <t>Operadores</t>
  </si>
  <si>
    <t>(R$ /Hora)</t>
  </si>
  <si>
    <t>Helicóptero AH-1</t>
  </si>
  <si>
    <t>Avião Tanque</t>
  </si>
  <si>
    <t>Avião B67</t>
  </si>
  <si>
    <t>Nutrientes</t>
  </si>
  <si>
    <t>100g de Alimento 1</t>
  </si>
  <si>
    <t>100g de Alimento 2</t>
  </si>
  <si>
    <t>Y</t>
  </si>
  <si>
    <t>Z</t>
  </si>
  <si>
    <t>Custos</t>
  </si>
  <si>
    <t xml:space="preserve">X </t>
  </si>
  <si>
    <r>
      <t xml:space="preserve"> (m</t>
    </r>
    <r>
      <rPr>
        <b/>
        <vertAlign val="superscript"/>
        <sz val="11"/>
        <rFont val="Times New Roman"/>
        <family val="1"/>
      </rPr>
      <t>2</t>
    </r>
    <r>
      <rPr>
        <b/>
        <sz val="11"/>
        <rFont val="Times New Roman"/>
        <family val="1"/>
      </rPr>
      <t>/Hora)</t>
    </r>
  </si>
  <si>
    <t>Determine quanto deve ser utilizado de cada aparelho de modo a minimizar os custos. Para a solução do problema utilize o método heurístico</t>
  </si>
  <si>
    <t>Determine qual a quantidade (em percentual) de cada alimento que deverá compor a nova ração de forma a minimizar os custos. Para a solução do problema utilize o método heurístico</t>
  </si>
  <si>
    <t>Cultura</t>
  </si>
  <si>
    <t xml:space="preserve"> (experiência)</t>
  </si>
  <si>
    <t xml:space="preserve"> (informações do governo)</t>
  </si>
  <si>
    <t>Lucro por kg de Produção</t>
  </si>
  <si>
    <t>Trigo</t>
  </si>
  <si>
    <t>Arroz</t>
  </si>
  <si>
    <t>Milho</t>
  </si>
  <si>
    <r>
      <t>Produtividade em kg por m</t>
    </r>
    <r>
      <rPr>
        <vertAlign val="superscript"/>
        <sz val="12"/>
        <color rgb="FF000000"/>
        <rFont val="Calibri"/>
        <family val="2"/>
      </rPr>
      <t>2</t>
    </r>
  </si>
  <si>
    <r>
      <t>Por falta de um local de armazenamento próprio, a produção máxima, em toneladas, está limitada a 60. A área cultivável do sítio é de 200.000 m</t>
    </r>
    <r>
      <rPr>
        <vertAlign val="superscript"/>
        <sz val="12"/>
        <color rgb="FF000000"/>
        <rFont val="Calibri"/>
        <family val="2"/>
      </rPr>
      <t>2</t>
    </r>
    <r>
      <rPr>
        <sz val="12"/>
        <color rgb="FF000000"/>
        <rFont val="Calibri"/>
        <family val="2"/>
      </rPr>
      <t>. Para atender às demandas de seu próprio sítio, é imperativo que se plante o mínimo de 400 m</t>
    </r>
    <r>
      <rPr>
        <vertAlign val="superscript"/>
        <sz val="12"/>
        <color rgb="FF000000"/>
        <rFont val="Calibri"/>
        <family val="2"/>
      </rPr>
      <t>2</t>
    </r>
    <r>
      <rPr>
        <sz val="12"/>
        <color rgb="FF000000"/>
        <rFont val="Calibri"/>
        <family val="2"/>
      </rPr>
      <t xml:space="preserve"> de trigo, 800 m</t>
    </r>
    <r>
      <rPr>
        <vertAlign val="superscript"/>
        <sz val="12"/>
        <color rgb="FF000000"/>
        <rFont val="Calibri"/>
        <family val="2"/>
      </rPr>
      <t xml:space="preserve">2 </t>
    </r>
    <r>
      <rPr>
        <sz val="12"/>
        <color rgb="FF000000"/>
        <rFont val="Calibri"/>
        <family val="2"/>
      </rPr>
      <t>de arroz e 10.000 m</t>
    </r>
    <r>
      <rPr>
        <vertAlign val="superscript"/>
        <sz val="12"/>
        <color rgb="FF000000"/>
        <rFont val="Calibri"/>
        <family val="2"/>
      </rPr>
      <t>2</t>
    </r>
    <r>
      <rPr>
        <sz val="12"/>
        <color rgb="FF000000"/>
        <rFont val="Calibri"/>
        <family val="2"/>
      </rPr>
      <t xml:space="preserve"> de milho. </t>
    </r>
  </si>
  <si>
    <t xml:space="preserve">Determine quanto deve o sitiante plantar de cada produto de modo a maximizar a receita. Para esse cálculo utilize o método heurístico </t>
  </si>
  <si>
    <t>Carga 1</t>
  </si>
  <si>
    <t>Carga 2</t>
  </si>
  <si>
    <t>Carga 3</t>
  </si>
  <si>
    <t>Carga 4</t>
  </si>
  <si>
    <t>Volume</t>
  </si>
  <si>
    <t>Lucro</t>
  </si>
  <si>
    <t>Peso disponível</t>
  </si>
  <si>
    <r>
      <t>(m</t>
    </r>
    <r>
      <rPr>
        <b/>
        <vertAlign val="superscript"/>
        <sz val="11"/>
        <color rgb="FF000000"/>
        <rFont val="Times New Roman"/>
        <family val="1"/>
      </rPr>
      <t>3</t>
    </r>
    <r>
      <rPr>
        <b/>
        <sz val="11"/>
        <color rgb="FF000000"/>
        <rFont val="Times New Roman"/>
        <family val="1"/>
      </rPr>
      <t>/ton)</t>
    </r>
  </si>
  <si>
    <t>($/ton.)</t>
  </si>
  <si>
    <t>(ton.)</t>
  </si>
  <si>
    <t>Quer-se planejar o envio da carga de forma a maximizar o lucro, considerando as restrições de transporte do avião.</t>
  </si>
  <si>
    <t xml:space="preserve">Determine a quantidade de cada carga que deve ser transportada de forma a maximizar o lucro. Para esse cálculo utilize o método heurístico </t>
  </si>
  <si>
    <t>A área de floresta a ser coberta pelo combate ao fogo é de 3.000.000 m2, envolvendo a frente de fogo (para paralisação do avanço do dano), áreas já queimadas que necessitam de rescaldo (para proteção de animais e segurança contra recrudescimento) e áreas de acero (proteção preventiva indispensável). Nas bases de apoio são disponíveis 34 pilotos de avião e 22 de helicóptero, bem como 42 operadores especializados em combate aéreo de fogo.</t>
  </si>
  <si>
    <r>
      <t>Um avião de carga possui a capacidade máxima de 64 toneladas e espaço de transporte de 30.800 m</t>
    </r>
    <r>
      <rPr>
        <vertAlign val="superscript"/>
        <sz val="12"/>
        <color rgb="FF000000"/>
        <rFont val="Calibri"/>
        <family val="2"/>
      </rPr>
      <t>3</t>
    </r>
    <r>
      <rPr>
        <sz val="12"/>
        <color rgb="FF000000"/>
        <rFont val="Calibri"/>
        <family val="2"/>
      </rPr>
      <t xml:space="preserve">. As seguintes cargas estão disponíveis para o próximo voo: </t>
    </r>
  </si>
  <si>
    <t>Aluno(a)</t>
  </si>
  <si>
    <t>Prof. Gilberto C Antonelli e Profª Camila C C dos Reis</t>
  </si>
  <si>
    <r>
      <t>Uma reserva florestal está em chamas e o governo planeja uma operação fulminante de combate ao fogo para amanhã. O incêndio é de pequenas proporções se propaga lentamente, devendo ser extinto em cerca de três horas de operação logo após o amanhecer. Estão sendo mobilizados aviões e helicópteros especializados nesse tipo de operações. As características dos aparelhos constam da tabela a seguir.  (</t>
    </r>
    <r>
      <rPr>
        <b/>
        <i/>
        <sz val="11"/>
        <rFont val="Calibri"/>
        <family val="2"/>
      </rPr>
      <t>OBS: ANTES DE INICIAR VERIFIQUE SE O RA ESTÁ CORRETO</t>
    </r>
    <r>
      <rPr>
        <sz val="11"/>
        <rFont val="Calibri"/>
        <family val="2"/>
      </rPr>
      <t>)</t>
    </r>
  </si>
  <si>
    <r>
      <t>A Granja Cocoró quer misturar dois tipos de alimentos para criar um tipo especial de ração para suas galinhas poedeiras. A primeira característica a ser atingida com a nova ração é o menor custo possível por unidade de peso. Cada um dos alimentos contém os nutrientes necessários à ração final (aqui chamados de nutrientes X, Y e Z), porém em proporções variáveis conforme mostrado na tabela. Sabe-se que a ração final deve conter, no mínimo, 12 g do nutriente X, 14 g do nutriente Y e 11 g do nutriente Z. É preciso obedecer a essa composição, minimizando ao mesmo tempo o custo por peso da nova ração. (</t>
    </r>
    <r>
      <rPr>
        <b/>
        <i/>
        <sz val="11"/>
        <rFont val="Calibri"/>
        <family val="2"/>
        <scheme val="minor"/>
      </rPr>
      <t>OBS: ANTES DE INICIAR VERIFIQUE SE O RA ESTÁ CORRETO</t>
    </r>
    <r>
      <rPr>
        <sz val="11"/>
        <rFont val="Calibri"/>
        <family val="2"/>
        <scheme val="minor"/>
      </rPr>
      <t>)</t>
    </r>
  </si>
  <si>
    <t>(OBS: ANTES DE INICIAR VERIFIQUE SE O RA ESTÁ CORRETO)</t>
  </si>
  <si>
    <r>
      <t>Um sitiante está planejando sua estratégia de plantio para o próximo ano. Por informações obtidas nos órgãos governamentais, sabe que as culturas de trigo, arroz e milho serão as mais rentáveis na próxima safra. Por experiência, sabe que a produtividade de sua terra para as culturas desejadas é a constante na tabela abaixo. (</t>
    </r>
    <r>
      <rPr>
        <b/>
        <i/>
        <sz val="12"/>
        <color rgb="FF000000"/>
        <rFont val="Calibri"/>
        <family val="2"/>
      </rPr>
      <t>OBS: ANTES DE INICIAR VERIFIQUE SE O RA ESTÁ CORRETO</t>
    </r>
    <r>
      <rPr>
        <sz val="12"/>
        <color rgb="FF000000"/>
        <rFont val="Calibri"/>
        <family val="2"/>
      </rPr>
      <t>).</t>
    </r>
  </si>
  <si>
    <t>OBSERVAÇÃO: Deverá ser apresentado na forma de texto a solução do problema, baseada nos resultados apresentados nesta planilha.</t>
  </si>
  <si>
    <t>A SOLUÇÃO DO PROBLEMA DEVE ESTAR NA ABA "Solução" DESTA PLANILHA, QUE DEVE SER POSTADA NO MOODLE COMO RESPOSTA DA AVALIAÇÃO</t>
  </si>
  <si>
    <t>Alex Hideki Horie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</si>
</sst>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42" x14ac:knownFonts="1">
    <font>
      <sz val="11"/>
      <color rgb="FF000000"/>
      <name val="Calibri"/>
    </font>
    <font>
      <b/>
      <sz val="16"/>
      <color rgb="FF000000"/>
      <name val="Times New Roman"/>
      <family val="1"/>
    </font>
    <font>
      <sz val="11"/>
      <name val="Calibri"/>
      <family val="2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b/>
      <sz val="14"/>
      <name val="Times New Roman"/>
      <family val="1"/>
    </font>
    <font>
      <b/>
      <sz val="11"/>
      <name val="Calibri"/>
      <family val="2"/>
    </font>
    <font>
      <b/>
      <u/>
      <sz val="14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i/>
      <sz val="12"/>
      <color rgb="FF000000"/>
      <name val="Calibri"/>
      <family val="2"/>
    </font>
    <font>
      <b/>
      <sz val="16"/>
      <color theme="8" tint="0.79998168889431442"/>
      <name val="Times New Roman"/>
      <family val="1"/>
    </font>
    <font>
      <sz val="11"/>
      <color theme="8" tint="0.79998168889431442"/>
      <name val="Calibri"/>
      <family val="2"/>
    </font>
    <font>
      <b/>
      <sz val="14"/>
      <color theme="8" tint="0.79998168889431442"/>
      <name val="Times New Roman"/>
      <family val="1"/>
    </font>
    <font>
      <b/>
      <sz val="11"/>
      <color theme="8" tint="0.79998168889431442"/>
      <name val="Calibri"/>
      <family val="2"/>
    </font>
    <font>
      <b/>
      <i/>
      <sz val="11"/>
      <name val="Calibri"/>
      <family val="2"/>
    </font>
    <font>
      <b/>
      <sz val="11"/>
      <name val="Times New Roman"/>
      <family val="1"/>
    </font>
    <font>
      <sz val="11"/>
      <name val="Times New Roman"/>
      <family val="1"/>
    </font>
    <font>
      <sz val="12"/>
      <name val="Calibri"/>
      <family val="2"/>
    </font>
    <font>
      <b/>
      <sz val="12"/>
      <name val="Calibri"/>
      <family val="2"/>
    </font>
    <font>
      <sz val="12"/>
      <color rgb="FF000000"/>
      <name val="Times New Roman"/>
      <family val="1"/>
    </font>
    <font>
      <b/>
      <vertAlign val="superscript"/>
      <sz val="11"/>
      <name val="Times New Roman"/>
      <family val="1"/>
    </font>
    <font>
      <b/>
      <sz val="12"/>
      <color rgb="FF000000"/>
      <name val="Times New Roman"/>
      <family val="1"/>
    </font>
    <font>
      <vertAlign val="superscript"/>
      <sz val="12"/>
      <color rgb="FF000000"/>
      <name val="Calibri"/>
      <family val="2"/>
    </font>
    <font>
      <b/>
      <vertAlign val="superscript"/>
      <sz val="11"/>
      <color rgb="FF000000"/>
      <name val="Times New Roman"/>
      <family val="1"/>
    </font>
    <font>
      <sz val="11"/>
      <color rgb="FFFF0000"/>
      <name val="Calibri"/>
      <family val="2"/>
    </font>
    <font>
      <b/>
      <sz val="11"/>
      <color rgb="FF002060"/>
      <name val="Calibri"/>
      <family val="2"/>
    </font>
    <font>
      <sz val="8"/>
      <name val="Calibri"/>
      <family val="2"/>
    </font>
    <font>
      <sz val="11"/>
      <color theme="0" tint="-4.9989318521683403E-2"/>
      <name val="Calibri"/>
      <family val="2"/>
    </font>
    <font>
      <b/>
      <sz val="11"/>
      <color theme="0" tint="-0.34998626667073579"/>
      <name val="Calibri"/>
      <family val="2"/>
    </font>
    <font>
      <b/>
      <sz val="11"/>
      <color theme="0" tint="-4.9989318521683403E-2"/>
      <name val="Calibri"/>
      <family val="2"/>
    </font>
    <font>
      <b/>
      <sz val="11"/>
      <color theme="0" tint="-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" fillId="2" borderId="4" xfId="0" applyFont="1" applyFill="1" applyBorder="1" applyAlignment="1">
      <alignment vertical="center"/>
    </xf>
    <xf numFmtId="0" fontId="0" fillId="2" borderId="9" xfId="0" applyFill="1" applyBorder="1"/>
    <xf numFmtId="0" fontId="0" fillId="2" borderId="4" xfId="0" applyFill="1" applyBorder="1" applyAlignment="1">
      <alignment horizontal="left" vertical="top" wrapText="1"/>
    </xf>
    <xf numFmtId="0" fontId="5" fillId="2" borderId="4" xfId="0" applyFont="1" applyFill="1" applyBorder="1" applyAlignment="1">
      <alignment horizontal="center" vertical="top" wrapText="1"/>
    </xf>
    <xf numFmtId="0" fontId="0" fillId="2" borderId="10" xfId="0" applyFill="1" applyBorder="1"/>
    <xf numFmtId="0" fontId="0" fillId="2" borderId="4" xfId="0" applyFill="1" applyBorder="1"/>
    <xf numFmtId="0" fontId="6" fillId="2" borderId="11" xfId="0" applyFont="1" applyFill="1" applyBorder="1" applyAlignment="1">
      <alignment horizontal="center" vertical="top" wrapText="1"/>
    </xf>
    <xf numFmtId="0" fontId="2" fillId="2" borderId="4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4" xfId="0" applyFont="1" applyFill="1" applyBorder="1"/>
    <xf numFmtId="0" fontId="2" fillId="2" borderId="9" xfId="0" applyFont="1" applyFill="1" applyBorder="1"/>
    <xf numFmtId="0" fontId="8" fillId="0" borderId="0" xfId="0" applyFont="1"/>
    <xf numFmtId="0" fontId="8" fillId="0" borderId="4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11" fillId="0" borderId="0" xfId="0" applyFont="1" applyAlignment="1">
      <alignment vertical="center"/>
    </xf>
    <xf numFmtId="0" fontId="15" fillId="0" borderId="0" xfId="0" applyFont="1" applyAlignment="1">
      <alignment vertical="top" wrapText="1"/>
    </xf>
    <xf numFmtId="0" fontId="18" fillId="0" borderId="4" xfId="0" applyFont="1" applyBorder="1" applyAlignment="1">
      <alignment vertical="top" wrapText="1"/>
    </xf>
    <xf numFmtId="0" fontId="0" fillId="2" borderId="0" xfId="0" applyFill="1"/>
    <xf numFmtId="0" fontId="19" fillId="3" borderId="5" xfId="0" applyFont="1" applyFill="1" applyBorder="1" applyAlignment="1">
      <alignment horizontal="center"/>
    </xf>
    <xf numFmtId="0" fontId="8" fillId="3" borderId="7" xfId="0" applyFont="1" applyFill="1" applyBorder="1"/>
    <xf numFmtId="0" fontId="19" fillId="3" borderId="8" xfId="0" applyFont="1" applyFill="1" applyBorder="1" applyAlignment="1">
      <alignment horizontal="center"/>
    </xf>
    <xf numFmtId="0" fontId="8" fillId="3" borderId="9" xfId="0" applyFont="1" applyFill="1" applyBorder="1"/>
    <xf numFmtId="0" fontId="8" fillId="3" borderId="9" xfId="0" applyFont="1" applyFill="1" applyBorder="1" applyAlignment="1">
      <alignment horizontal="center"/>
    </xf>
    <xf numFmtId="0" fontId="19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2" xfId="0" applyFont="1" applyFill="1" applyBorder="1"/>
    <xf numFmtId="0" fontId="8" fillId="0" borderId="4" xfId="0" applyFont="1" applyBorder="1"/>
    <xf numFmtId="0" fontId="9" fillId="2" borderId="4" xfId="0" applyFont="1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4" xfId="0" applyFont="1" applyFill="1" applyBorder="1" applyAlignment="1">
      <alignment vertical="top" wrapText="1"/>
    </xf>
    <xf numFmtId="0" fontId="12" fillId="2" borderId="9" xfId="0" applyFont="1" applyFill="1" applyBorder="1"/>
    <xf numFmtId="0" fontId="12" fillId="2" borderId="12" xfId="0" applyFont="1" applyFill="1" applyBorder="1"/>
    <xf numFmtId="0" fontId="21" fillId="3" borderId="6" xfId="0" applyFont="1" applyFill="1" applyBorder="1" applyAlignment="1">
      <alignment vertical="center"/>
    </xf>
    <xf numFmtId="0" fontId="22" fillId="3" borderId="6" xfId="0" applyFont="1" applyFill="1" applyBorder="1"/>
    <xf numFmtId="0" fontId="21" fillId="3" borderId="4" xfId="0" applyFont="1" applyFill="1" applyBorder="1" applyAlignment="1">
      <alignment vertical="center"/>
    </xf>
    <xf numFmtId="0" fontId="22" fillId="3" borderId="4" xfId="0" applyFont="1" applyFill="1" applyBorder="1"/>
    <xf numFmtId="0" fontId="23" fillId="3" borderId="4" xfId="0" applyFont="1" applyFill="1" applyBorder="1" applyAlignment="1">
      <alignment horizontal="center" vertical="center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14" fillId="2" borderId="4" xfId="0" applyFont="1" applyFill="1" applyBorder="1" applyAlignment="1">
      <alignment vertical="center"/>
    </xf>
    <xf numFmtId="0" fontId="2" fillId="2" borderId="4" xfId="0" applyFont="1" applyFill="1" applyBorder="1" applyAlignment="1">
      <alignment horizontal="left" vertical="top" wrapText="1"/>
    </xf>
    <xf numFmtId="0" fontId="28" fillId="2" borderId="4" xfId="0" applyFont="1" applyFill="1" applyBorder="1" applyAlignment="1">
      <alignment horizontal="center" vertical="top" wrapText="1"/>
    </xf>
    <xf numFmtId="0" fontId="2" fillId="2" borderId="10" xfId="0" applyFont="1" applyFill="1" applyBorder="1"/>
    <xf numFmtId="0" fontId="29" fillId="2" borderId="11" xfId="0" applyFont="1" applyFill="1" applyBorder="1" applyAlignment="1">
      <alignment horizontal="center" vertical="top" wrapText="1"/>
    </xf>
    <xf numFmtId="0" fontId="2" fillId="2" borderId="11" xfId="0" applyFont="1" applyFill="1" applyBorder="1"/>
    <xf numFmtId="0" fontId="2" fillId="2" borderId="12" xfId="0" applyFont="1" applyFill="1" applyBorder="1"/>
    <xf numFmtId="0" fontId="27" fillId="2" borderId="4" xfId="0" applyFont="1" applyFill="1" applyBorder="1" applyAlignment="1">
      <alignment horizontal="center" vertical="center" wrapText="1"/>
    </xf>
    <xf numFmtId="0" fontId="26" fillId="2" borderId="4" xfId="0" applyFont="1" applyFill="1" applyBorder="1" applyAlignment="1">
      <alignment vertical="center" wrapText="1"/>
    </xf>
    <xf numFmtId="0" fontId="26" fillId="2" borderId="4" xfId="0" applyFont="1" applyFill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7" fillId="2" borderId="17" xfId="0" applyFont="1" applyFill="1" applyBorder="1" applyAlignment="1">
      <alignment horizontal="center" vertical="center" wrapText="1"/>
    </xf>
    <xf numFmtId="0" fontId="15" fillId="2" borderId="4" xfId="0" applyFont="1" applyFill="1" applyBorder="1"/>
    <xf numFmtId="0" fontId="15" fillId="2" borderId="9" xfId="0" applyFont="1" applyFill="1" applyBorder="1"/>
    <xf numFmtId="0" fontId="15" fillId="2" borderId="4" xfId="0" applyFont="1" applyFill="1" applyBorder="1" applyAlignment="1">
      <alignment horizontal="center"/>
    </xf>
    <xf numFmtId="0" fontId="15" fillId="2" borderId="9" xfId="0" applyFont="1" applyFill="1" applyBorder="1" applyAlignment="1">
      <alignment horizontal="center"/>
    </xf>
    <xf numFmtId="0" fontId="11" fillId="2" borderId="9" xfId="0" applyFont="1" applyFill="1" applyBorder="1" applyAlignment="1">
      <alignment vertical="center"/>
    </xf>
    <xf numFmtId="0" fontId="15" fillId="2" borderId="4" xfId="0" applyFont="1" applyFill="1" applyBorder="1" applyAlignment="1">
      <alignment horizontal="justify" vertical="top" wrapText="1"/>
    </xf>
    <xf numFmtId="0" fontId="15" fillId="2" borderId="9" xfId="0" applyFont="1" applyFill="1" applyBorder="1" applyAlignment="1">
      <alignment vertical="top" wrapText="1"/>
    </xf>
    <xf numFmtId="0" fontId="30" fillId="2" borderId="17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vertical="top" wrapText="1"/>
    </xf>
    <xf numFmtId="0" fontId="0" fillId="2" borderId="9" xfId="0" applyFill="1" applyBorder="1" applyAlignment="1">
      <alignment vertical="top" wrapText="1"/>
    </xf>
    <xf numFmtId="0" fontId="18" fillId="2" borderId="9" xfId="0" applyFont="1" applyFill="1" applyBorder="1" applyAlignment="1">
      <alignment vertical="top" wrapText="1"/>
    </xf>
    <xf numFmtId="0" fontId="12" fillId="2" borderId="11" xfId="0" applyFont="1" applyFill="1" applyBorder="1" applyAlignment="1">
      <alignment horizontal="center"/>
    </xf>
    <xf numFmtId="0" fontId="32" fillId="2" borderId="17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top" wrapText="1"/>
    </xf>
    <xf numFmtId="0" fontId="7" fillId="2" borderId="4" xfId="0" applyFont="1" applyFill="1" applyBorder="1" applyAlignment="1">
      <alignment horizontal="left" vertical="top" wrapText="1"/>
    </xf>
    <xf numFmtId="0" fontId="5" fillId="2" borderId="17" xfId="0" applyFont="1" applyFill="1" applyBorder="1" applyAlignment="1">
      <alignment horizontal="justify" vertical="top" wrapText="1"/>
    </xf>
    <xf numFmtId="0" fontId="7" fillId="2" borderId="17" xfId="0" applyFont="1" applyFill="1" applyBorder="1" applyAlignment="1">
      <alignment horizontal="left" vertical="top" wrapText="1"/>
    </xf>
    <xf numFmtId="0" fontId="0" fillId="2" borderId="4" xfId="0" applyFill="1" applyBorder="1" applyAlignment="1">
      <alignment vertical="top"/>
    </xf>
    <xf numFmtId="0" fontId="0" fillId="2" borderId="4" xfId="0" applyFill="1" applyBorder="1" applyAlignment="1">
      <alignment horizontal="center" vertical="top" wrapText="1"/>
    </xf>
    <xf numFmtId="2" fontId="8" fillId="0" borderId="0" xfId="0" applyNumberFormat="1" applyFont="1"/>
    <xf numFmtId="0" fontId="2" fillId="2" borderId="0" xfId="0" applyFont="1" applyFill="1"/>
    <xf numFmtId="0" fontId="3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3" fillId="2" borderId="19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5" fillId="0" borderId="0" xfId="0" applyFont="1"/>
    <xf numFmtId="0" fontId="36" fillId="3" borderId="4" xfId="0" applyFont="1" applyFill="1" applyBorder="1"/>
    <xf numFmtId="0" fontId="7" fillId="0" borderId="0" xfId="0" applyFont="1"/>
    <xf numFmtId="0" fontId="35" fillId="2" borderId="0" xfId="0" applyFont="1" applyFill="1"/>
    <xf numFmtId="8" fontId="0" fillId="0" borderId="0" xfId="0" applyNumberFormat="1"/>
    <xf numFmtId="0" fontId="38" fillId="2" borderId="0" xfId="0" applyFont="1" applyFill="1"/>
    <xf numFmtId="0" fontId="29" fillId="2" borderId="4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horizontal="center"/>
    </xf>
    <xf numFmtId="0" fontId="12" fillId="2" borderId="4" xfId="0" applyFont="1" applyFill="1" applyBorder="1"/>
    <xf numFmtId="0" fontId="24" fillId="3" borderId="13" xfId="0" applyFont="1" applyFill="1" applyBorder="1" applyAlignment="1">
      <alignment horizontal="center"/>
    </xf>
    <xf numFmtId="0" fontId="24" fillId="3" borderId="14" xfId="0" applyFont="1" applyFill="1" applyBorder="1" applyAlignment="1">
      <alignment horizontal="center"/>
    </xf>
    <xf numFmtId="0" fontId="23" fillId="3" borderId="13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39" fillId="3" borderId="4" xfId="0" applyFont="1" applyFill="1" applyBorder="1" applyAlignment="1">
      <alignment horizontal="center"/>
    </xf>
    <xf numFmtId="0" fontId="24" fillId="3" borderId="17" xfId="0" applyFont="1" applyFill="1" applyBorder="1" applyAlignment="1">
      <alignment horizontal="center"/>
    </xf>
    <xf numFmtId="0" fontId="23" fillId="3" borderId="17" xfId="0" applyFont="1" applyFill="1" applyBorder="1" applyAlignment="1">
      <alignment horizontal="center" vertical="center"/>
    </xf>
    <xf numFmtId="0" fontId="29" fillId="2" borderId="4" xfId="0" applyFont="1" applyFill="1" applyBorder="1" applyAlignment="1">
      <alignment horizontal="center" vertical="top" wrapText="1"/>
    </xf>
    <xf numFmtId="0" fontId="40" fillId="2" borderId="25" xfId="0" applyFont="1" applyFill="1" applyBorder="1" applyAlignment="1">
      <alignment horizontal="center"/>
    </xf>
    <xf numFmtId="0" fontId="10" fillId="2" borderId="26" xfId="0" applyFont="1" applyFill="1" applyBorder="1" applyAlignment="1">
      <alignment horizontal="center"/>
    </xf>
    <xf numFmtId="0" fontId="10" fillId="2" borderId="27" xfId="0" applyFont="1" applyFill="1" applyBorder="1" applyAlignment="1">
      <alignment horizontal="center"/>
    </xf>
    <xf numFmtId="0" fontId="10" fillId="2" borderId="17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justify" vertical="top" wrapText="1"/>
    </xf>
    <xf numFmtId="0" fontId="2" fillId="2" borderId="4" xfId="0" applyFont="1" applyFill="1" applyBorder="1" applyAlignment="1">
      <alignment horizontal="justify" vertical="top"/>
    </xf>
    <xf numFmtId="0" fontId="26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2" fillId="2" borderId="2" xfId="0" applyFont="1" applyFill="1" applyBorder="1"/>
    <xf numFmtId="0" fontId="2" fillId="2" borderId="3" xfId="0" applyFont="1" applyFill="1" applyBorder="1"/>
    <xf numFmtId="0" fontId="9" fillId="2" borderId="25" xfId="0" applyFont="1" applyFill="1" applyBorder="1" applyAlignment="1">
      <alignment horizontal="center" vertical="center"/>
    </xf>
    <xf numFmtId="0" fontId="2" fillId="2" borderId="25" xfId="0" applyFont="1" applyFill="1" applyBorder="1"/>
    <xf numFmtId="0" fontId="28" fillId="2" borderId="4" xfId="0" applyFont="1" applyFill="1" applyBorder="1" applyAlignment="1">
      <alignment horizontal="justify" vertical="top" wrapText="1"/>
    </xf>
    <xf numFmtId="0" fontId="11" fillId="2" borderId="4" xfId="0" applyFont="1" applyFill="1" applyBorder="1" applyAlignment="1">
      <alignment horizontal="center" vertical="center"/>
    </xf>
    <xf numFmtId="0" fontId="2" fillId="2" borderId="4" xfId="0" applyFont="1" applyFill="1" applyBorder="1"/>
    <xf numFmtId="0" fontId="2" fillId="2" borderId="17" xfId="0" applyFont="1" applyFill="1" applyBorder="1" applyAlignment="1">
      <alignment horizontal="center"/>
    </xf>
    <xf numFmtId="0" fontId="9" fillId="2" borderId="17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/>
    </xf>
    <xf numFmtId="0" fontId="9" fillId="2" borderId="18" xfId="0" applyFont="1" applyFill="1" applyBorder="1" applyAlignment="1">
      <alignment horizontal="center" vertical="center"/>
    </xf>
    <xf numFmtId="0" fontId="41" fillId="2" borderId="18" xfId="0" applyFont="1" applyFill="1" applyBorder="1" applyAlignment="1">
      <alignment horizontal="center"/>
    </xf>
    <xf numFmtId="0" fontId="0" fillId="2" borderId="4" xfId="0" applyFill="1" applyBorder="1" applyAlignment="1">
      <alignment vertical="top" wrapText="1"/>
    </xf>
    <xf numFmtId="0" fontId="15" fillId="2" borderId="4" xfId="0" applyFont="1" applyFill="1" applyBorder="1" applyAlignment="1">
      <alignment horizontal="justify" vertical="top" wrapText="1"/>
    </xf>
    <xf numFmtId="0" fontId="32" fillId="2" borderId="17" xfId="0" applyFont="1" applyFill="1" applyBorder="1" applyAlignment="1">
      <alignment horizontal="center" vertical="center" wrapText="1"/>
    </xf>
    <xf numFmtId="0" fontId="30" fillId="2" borderId="17" xfId="0" applyFont="1" applyFill="1" applyBorder="1" applyAlignment="1">
      <alignment horizontal="center" vertical="center" wrapText="1"/>
    </xf>
    <xf numFmtId="8" fontId="30" fillId="2" borderId="17" xfId="0" applyNumberFormat="1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top" wrapText="1"/>
    </xf>
    <xf numFmtId="0" fontId="5" fillId="2" borderId="16" xfId="0" applyFont="1" applyFill="1" applyBorder="1" applyAlignment="1">
      <alignment horizontal="center" vertical="top" wrapText="1"/>
    </xf>
    <xf numFmtId="0" fontId="5" fillId="2" borderId="24" xfId="0" applyFont="1" applyFill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top" wrapText="1"/>
    </xf>
    <xf numFmtId="0" fontId="0" fillId="2" borderId="15" xfId="0" applyFill="1" applyBorder="1" applyAlignment="1">
      <alignment horizontal="center" vertical="top" wrapText="1"/>
    </xf>
    <xf numFmtId="0" fontId="0" fillId="2" borderId="14" xfId="0" applyFill="1" applyBorder="1" applyAlignment="1">
      <alignment horizontal="center" vertical="top" wrapText="1"/>
    </xf>
    <xf numFmtId="0" fontId="5" fillId="2" borderId="13" xfId="0" applyFont="1" applyFill="1" applyBorder="1" applyAlignment="1">
      <alignment horizontal="center" vertical="top" wrapText="1"/>
    </xf>
    <xf numFmtId="0" fontId="5" fillId="2" borderId="15" xfId="0" applyFont="1" applyFill="1" applyBorder="1" applyAlignment="1">
      <alignment horizontal="center" vertical="top" wrapText="1"/>
    </xf>
    <xf numFmtId="0" fontId="5" fillId="2" borderId="14" xfId="0" applyFont="1" applyFill="1" applyBorder="1" applyAlignment="1">
      <alignment horizontal="center" vertical="top" wrapText="1"/>
    </xf>
    <xf numFmtId="0" fontId="5" fillId="2" borderId="4" xfId="0" applyFont="1" applyFill="1" applyBorder="1" applyAlignment="1">
      <alignment horizontal="justify" vertical="top" wrapText="1"/>
    </xf>
    <xf numFmtId="0" fontId="5" fillId="2" borderId="17" xfId="0" applyFont="1" applyFill="1" applyBorder="1" applyAlignment="1">
      <alignment horizontal="center" vertical="top" wrapText="1"/>
    </xf>
    <xf numFmtId="0" fontId="6" fillId="2" borderId="4" xfId="0" applyFont="1" applyFill="1" applyBorder="1" applyAlignment="1">
      <alignment horizontal="center" vertical="top" wrapText="1"/>
    </xf>
    <xf numFmtId="0" fontId="5" fillId="2" borderId="19" xfId="0" applyFont="1" applyFill="1" applyBorder="1" applyAlignment="1">
      <alignment horizontal="center" vertical="top" wrapText="1"/>
    </xf>
    <xf numFmtId="0" fontId="5" fillId="2" borderId="20" xfId="0" applyFont="1" applyFill="1" applyBorder="1" applyAlignment="1">
      <alignment horizontal="center" vertical="top" wrapText="1"/>
    </xf>
    <xf numFmtId="0" fontId="10" fillId="2" borderId="1" xfId="0" applyFont="1" applyFill="1" applyBorder="1" applyAlignment="1">
      <alignment horizontal="center"/>
    </xf>
    <xf numFmtId="0" fontId="38" fillId="2" borderId="25" xfId="0" applyFont="1" applyFill="1" applyBorder="1"/>
    <xf numFmtId="0" fontId="5" fillId="2" borderId="16" xfId="0" applyFont="1" applyFill="1" applyBorder="1" applyAlignment="1">
      <alignment horizontal="justify" vertical="top" wrapText="1"/>
    </xf>
    <xf numFmtId="0" fontId="0" fillId="2" borderId="4" xfId="0" applyFill="1" applyBorder="1" applyAlignment="1">
      <alignment horizontal="justify" vertical="top"/>
    </xf>
    <xf numFmtId="0" fontId="0" fillId="2" borderId="4" xfId="0" applyFill="1" applyBorder="1"/>
    <xf numFmtId="0" fontId="5" fillId="2" borderId="21" xfId="0" applyFont="1" applyFill="1" applyBorder="1" applyAlignment="1">
      <alignment horizontal="center" vertical="top" wrapText="1"/>
    </xf>
    <xf numFmtId="0" fontId="5" fillId="2" borderId="18" xfId="0" applyFont="1" applyFill="1" applyBorder="1" applyAlignment="1">
      <alignment horizontal="center" vertical="top" wrapText="1"/>
    </xf>
    <xf numFmtId="0" fontId="5" fillId="2" borderId="22" xfId="0" applyFont="1" applyFill="1" applyBorder="1" applyAlignment="1">
      <alignment horizontal="center" vertical="top" wrapText="1"/>
    </xf>
    <xf numFmtId="0" fontId="3" fillId="2" borderId="4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/>
    </xf>
    <xf numFmtId="0" fontId="2" fillId="2" borderId="14" xfId="0" applyFont="1" applyFill="1" applyBorder="1"/>
    <xf numFmtId="0" fontId="2" fillId="2" borderId="27" xfId="0" applyFont="1" applyFill="1" applyBorder="1"/>
    <xf numFmtId="0" fontId="5" fillId="2" borderId="4" xfId="0" applyFont="1" applyFill="1" applyBorder="1" applyAlignment="1">
      <alignment horizontal="center" vertical="top" wrapText="1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9DC5B-C6B3-4B69-BDFC-5E8B4E534D1A}">
  <sheetPr codeName="Planilha1"/>
  <dimension ref="B1:AB22"/>
  <sheetViews>
    <sheetView workbookViewId="0">
      <selection activeCell="G7" sqref="G7:H7"/>
    </sheetView>
  </sheetViews>
  <sheetFormatPr defaultRowHeight="15" x14ac:dyDescent="0.25"/>
  <cols>
    <col min="1" max="5" width="9.140625" style="27"/>
    <col min="6" max="6" width="19.28515625" style="27" customWidth="1"/>
    <col min="7" max="16384" width="9.140625" style="27"/>
  </cols>
  <sheetData>
    <row r="1" spans="2:28" ht="15.75" thickBot="1" x14ac:dyDescent="0.3">
      <c r="L1" s="84"/>
      <c r="M1" s="84"/>
      <c r="N1" s="95">
        <f>INT(G7/100000)</f>
        <v>1</v>
      </c>
      <c r="O1" s="95">
        <f>INT(G7/10000)-N1*10</f>
        <v>2</v>
      </c>
      <c r="P1" s="95">
        <f>INT(G7/1000)-N1*100-O1*10</f>
        <v>4</v>
      </c>
      <c r="Q1" s="95">
        <f>INT(G7/100)-N1*1000-O1*100-P1*10</f>
        <v>3</v>
      </c>
      <c r="R1" s="95">
        <f>INT(G7/10)-N1*10000-O1*1000-P1*100-Q1*10</f>
        <v>3</v>
      </c>
      <c r="S1" s="95">
        <f>G7-N1*100000-O1*10000-P1*1000-Q1*100-R1*10</f>
        <v>7</v>
      </c>
      <c r="T1" s="95">
        <f>SUM(S1:S2)</f>
        <v>13</v>
      </c>
      <c r="U1" s="95">
        <f>ROUNDUP(INT(T1/5),0)+1</f>
        <v>3</v>
      </c>
      <c r="V1" s="95"/>
      <c r="W1" s="93"/>
      <c r="X1" s="93"/>
      <c r="Y1" s="93" t="s">
        <v>5</v>
      </c>
      <c r="Z1" s="93"/>
      <c r="AA1" s="93"/>
      <c r="AB1" s="93"/>
    </row>
    <row r="2" spans="2:28" ht="20.25" x14ac:dyDescent="0.25">
      <c r="B2" s="28"/>
      <c r="C2" s="43" t="s">
        <v>0</v>
      </c>
      <c r="D2" s="44"/>
      <c r="E2" s="44"/>
      <c r="F2" s="44"/>
      <c r="G2" s="44"/>
      <c r="H2" s="44"/>
      <c r="I2" s="44"/>
      <c r="J2" s="44"/>
      <c r="K2" s="29"/>
      <c r="L2" s="84"/>
      <c r="M2" s="84"/>
      <c r="N2" s="95">
        <f>INT(I6/100000)</f>
        <v>1</v>
      </c>
      <c r="O2" s="95">
        <f>INT(I6/10000)-N2*10</f>
        <v>2</v>
      </c>
      <c r="P2" s="95">
        <f>INT(I6/1000)-N2*100-O2*10</f>
        <v>3</v>
      </c>
      <c r="Q2" s="95">
        <f>INT(I6/100)-N2*1000-O2*100-P2*10</f>
        <v>0</v>
      </c>
      <c r="R2" s="95">
        <f>INT(I6/10)-N2*10000-O2*1000-P2*100-Q2*10</f>
        <v>5</v>
      </c>
      <c r="S2" s="95">
        <f>I6-N2*100000-O2*10000-P2*1000-Q2*100-R2*10</f>
        <v>6</v>
      </c>
      <c r="T2" s="95">
        <f>IF(N3&gt;0,U1,0)</f>
        <v>3</v>
      </c>
      <c r="U2" s="95"/>
      <c r="V2" s="95"/>
      <c r="W2" s="93"/>
      <c r="X2" s="93"/>
      <c r="Y2" s="93"/>
      <c r="Z2" s="93"/>
      <c r="AA2" s="93"/>
      <c r="AB2" s="93"/>
    </row>
    <row r="3" spans="2:28" ht="20.25" x14ac:dyDescent="0.25">
      <c r="B3" s="30"/>
      <c r="C3" s="45" t="s">
        <v>1</v>
      </c>
      <c r="D3" s="46"/>
      <c r="E3" s="46"/>
      <c r="F3" s="46"/>
      <c r="G3" s="46"/>
      <c r="H3" s="46"/>
      <c r="I3" s="46"/>
      <c r="J3" s="46"/>
      <c r="K3" s="31"/>
      <c r="L3" s="84"/>
      <c r="M3" s="84"/>
      <c r="N3" s="95">
        <f>SUM(N1:S2)</f>
        <v>37</v>
      </c>
      <c r="O3" s="95"/>
      <c r="P3" s="95"/>
      <c r="Q3" s="95"/>
      <c r="R3" s="95"/>
      <c r="S3" s="95"/>
      <c r="T3" s="95"/>
      <c r="U3" s="95"/>
      <c r="V3" s="95"/>
      <c r="W3" s="93"/>
      <c r="X3" s="93"/>
      <c r="Y3" s="93"/>
      <c r="Z3" s="93"/>
      <c r="AA3" s="93"/>
      <c r="AB3" s="93"/>
    </row>
    <row r="4" spans="2:28" ht="20.25" x14ac:dyDescent="0.25">
      <c r="B4" s="30"/>
      <c r="C4" s="45" t="s">
        <v>51</v>
      </c>
      <c r="D4" s="46"/>
      <c r="E4" s="46"/>
      <c r="F4" s="46"/>
      <c r="G4" s="46"/>
      <c r="H4" s="46"/>
      <c r="I4" s="46"/>
      <c r="J4" s="46"/>
      <c r="K4" s="31"/>
      <c r="L4" s="84"/>
      <c r="M4" s="84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</row>
    <row r="5" spans="2:28" ht="18.75" x14ac:dyDescent="0.25">
      <c r="B5" s="30"/>
      <c r="C5" s="47"/>
      <c r="D5" s="46"/>
      <c r="E5" s="46"/>
      <c r="F5" s="46"/>
      <c r="G5" s="46"/>
      <c r="H5" s="46"/>
      <c r="I5" s="46"/>
      <c r="J5" s="46"/>
      <c r="K5" s="31"/>
      <c r="L5" s="84"/>
      <c r="M5" s="84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</row>
    <row r="6" spans="2:28" ht="18.75" x14ac:dyDescent="0.25">
      <c r="B6" s="30"/>
      <c r="C6" s="101" t="s">
        <v>50</v>
      </c>
      <c r="D6" s="102"/>
      <c r="E6" s="102"/>
      <c r="F6" s="103"/>
      <c r="G6" s="99" t="s">
        <v>2</v>
      </c>
      <c r="H6" s="100"/>
      <c r="I6" s="105">
        <v>123056</v>
      </c>
      <c r="J6" s="105"/>
      <c r="K6" s="32"/>
      <c r="L6" s="84"/>
      <c r="M6" s="84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</row>
    <row r="7" spans="2:28" ht="18.75" x14ac:dyDescent="0.25">
      <c r="B7" s="30"/>
      <c r="C7" s="107" t="s">
        <v>58</v>
      </c>
      <c r="D7" s="107"/>
      <c r="E7" s="107"/>
      <c r="F7" s="107"/>
      <c r="G7" s="106">
        <v>124337</v>
      </c>
      <c r="H7" s="106"/>
      <c r="I7" s="46"/>
      <c r="J7" s="46"/>
      <c r="K7" s="31"/>
      <c r="L7" s="84"/>
      <c r="M7" s="84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</row>
    <row r="8" spans="2:28" ht="18.75" x14ac:dyDescent="0.25">
      <c r="B8" s="30"/>
      <c r="C8" s="104"/>
      <c r="D8" s="104"/>
      <c r="E8" s="104"/>
      <c r="F8" s="104"/>
      <c r="G8" s="104"/>
      <c r="H8" s="104"/>
      <c r="I8" s="104"/>
      <c r="J8" s="104"/>
      <c r="K8" s="32"/>
      <c r="L8" s="84"/>
      <c r="M8" s="84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</row>
    <row r="9" spans="2:28" x14ac:dyDescent="0.25">
      <c r="B9" s="30"/>
      <c r="C9" s="91"/>
      <c r="D9" s="46"/>
      <c r="E9" s="46"/>
      <c r="F9" s="46"/>
      <c r="G9" s="46"/>
      <c r="H9" s="46"/>
      <c r="I9" s="46"/>
      <c r="J9" s="46"/>
      <c r="K9" s="31"/>
      <c r="L9" s="84"/>
      <c r="M9" s="84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</row>
    <row r="10" spans="2:28" ht="18.75" x14ac:dyDescent="0.25">
      <c r="B10" s="30"/>
      <c r="C10" s="104" t="s">
        <v>3</v>
      </c>
      <c r="D10" s="104"/>
      <c r="E10" s="104"/>
      <c r="F10" s="104"/>
      <c r="G10" s="104"/>
      <c r="H10" s="104"/>
      <c r="I10" s="104"/>
      <c r="J10" s="104"/>
      <c r="K10" s="31"/>
      <c r="L10" s="84"/>
      <c r="M10" s="84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</row>
    <row r="11" spans="2:28" ht="15.75" thickBot="1" x14ac:dyDescent="0.3">
      <c r="B11" s="33"/>
      <c r="C11" s="34"/>
      <c r="D11" s="34"/>
      <c r="E11" s="34"/>
      <c r="F11" s="34"/>
      <c r="G11" s="34"/>
      <c r="H11" s="34"/>
      <c r="I11" s="34"/>
      <c r="J11" s="34"/>
      <c r="K11" s="35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</row>
    <row r="12" spans="2:28" x14ac:dyDescent="0.25"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</row>
    <row r="13" spans="2:28" x14ac:dyDescent="0.25"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</row>
    <row r="14" spans="2:28" x14ac:dyDescent="0.25"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</row>
    <row r="15" spans="2:28" x14ac:dyDescent="0.25"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</row>
    <row r="16" spans="2:28" x14ac:dyDescent="0.25"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</row>
    <row r="17" spans="14:28" x14ac:dyDescent="0.25"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</row>
    <row r="18" spans="14:28" x14ac:dyDescent="0.25"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</row>
    <row r="19" spans="14:28" x14ac:dyDescent="0.25"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</row>
    <row r="20" spans="14:28" x14ac:dyDescent="0.25"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</row>
    <row r="21" spans="14:28" x14ac:dyDescent="0.25"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</row>
    <row r="22" spans="14:28" x14ac:dyDescent="0.25"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</row>
  </sheetData>
  <mergeCells count="8">
    <mergeCell ref="G6:H6"/>
    <mergeCell ref="C6:F6"/>
    <mergeCell ref="C10:J10"/>
    <mergeCell ref="I6:J6"/>
    <mergeCell ref="C8:F8"/>
    <mergeCell ref="G7:H7"/>
    <mergeCell ref="C7:F7"/>
    <mergeCell ref="G8:J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90FA-0DA5-4B01-B334-1E1B32CF643E}">
  <sheetPr codeName="Planilha2"/>
  <dimension ref="B1:W12"/>
  <sheetViews>
    <sheetView topLeftCell="A13" workbookViewId="0">
      <selection activeCell="H28" sqref="H28"/>
    </sheetView>
  </sheetViews>
  <sheetFormatPr defaultRowHeight="15" x14ac:dyDescent="0.25"/>
  <cols>
    <col min="2" max="2" width="21" bestFit="1" customWidth="1"/>
    <col min="4" max="4" width="10.5703125" bestFit="1" customWidth="1"/>
    <col min="5" max="5" width="11" bestFit="1" customWidth="1"/>
    <col min="6" max="6" width="4.28515625" bestFit="1" customWidth="1"/>
  </cols>
  <sheetData>
    <row r="1" spans="2:23" x14ac:dyDescent="0.25">
      <c r="B1" s="92"/>
      <c r="J1" s="92"/>
      <c r="N1" s="92"/>
      <c r="R1" s="92"/>
      <c r="W1" s="92"/>
    </row>
    <row r="3" spans="2:23" x14ac:dyDescent="0.25">
      <c r="J3" s="92"/>
      <c r="N3" s="92"/>
      <c r="O3" s="94"/>
    </row>
    <row r="5" spans="2:23" x14ac:dyDescent="0.25">
      <c r="S5" s="92"/>
    </row>
    <row r="6" spans="2:23" x14ac:dyDescent="0.25">
      <c r="S6" s="92"/>
      <c r="W6" s="92"/>
    </row>
    <row r="7" spans="2:23" x14ac:dyDescent="0.25">
      <c r="S7" s="92"/>
      <c r="W7" s="92"/>
    </row>
    <row r="8" spans="2:23" x14ac:dyDescent="0.25">
      <c r="W8" s="92"/>
    </row>
    <row r="12" spans="2:23" x14ac:dyDescent="0.25">
      <c r="R12" s="92"/>
      <c r="W12" s="92"/>
    </row>
  </sheetData>
  <phoneticPr fontId="37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Y94"/>
  <sheetViews>
    <sheetView workbookViewId="0">
      <selection activeCell="B27" sqref="B27:G27"/>
    </sheetView>
  </sheetViews>
  <sheetFormatPr defaultColWidth="14.42578125" defaultRowHeight="15" customHeight="1" x14ac:dyDescent="0.25"/>
  <cols>
    <col min="1" max="1" width="4.140625" style="38" customWidth="1"/>
    <col min="2" max="2" width="18.5703125" style="38" customWidth="1"/>
    <col min="3" max="3" width="21.85546875" style="38" customWidth="1"/>
    <col min="4" max="4" width="12.7109375" style="38" customWidth="1"/>
    <col min="5" max="5" width="8.7109375" style="38" customWidth="1"/>
    <col min="6" max="6" width="13.28515625" style="38" customWidth="1"/>
    <col min="7" max="7" width="9.5703125" style="38" customWidth="1"/>
    <col min="8" max="8" width="6.140625" style="38" customWidth="1"/>
    <col min="9" max="12" width="8.7109375" style="38" customWidth="1"/>
    <col min="13" max="16384" width="14.42578125" style="38"/>
  </cols>
  <sheetData>
    <row r="1" spans="1:25" ht="15" customHeight="1" x14ac:dyDescent="0.25">
      <c r="A1" s="48"/>
      <c r="B1" s="49"/>
      <c r="C1" s="49"/>
      <c r="D1" s="49"/>
      <c r="E1" s="49"/>
      <c r="F1" s="49"/>
      <c r="G1" s="49"/>
      <c r="H1" s="50"/>
      <c r="J1" s="17">
        <f>INT(F7/100000)</f>
        <v>1</v>
      </c>
      <c r="K1" s="17">
        <f>INT(F7/10000)-J1*10</f>
        <v>2</v>
      </c>
      <c r="L1" s="17">
        <f>INT(F7/1000)-J1*100-K1*10</f>
        <v>4</v>
      </c>
      <c r="M1" s="17">
        <f>INT(F7/100)-J1*1000-K1*100-L1*10</f>
        <v>3</v>
      </c>
      <c r="N1" s="17">
        <f>INT(F7/10)-J1*10000-K1*1000-L1*100-M1*10</f>
        <v>3</v>
      </c>
      <c r="O1" s="18">
        <f>F7-J1*100000-K1*10000-L1*1000-M1*100-N1*10</f>
        <v>7</v>
      </c>
      <c r="P1" s="16"/>
      <c r="Q1" s="16"/>
      <c r="R1" s="16"/>
      <c r="S1" s="16"/>
      <c r="T1" s="90"/>
      <c r="U1" s="90"/>
      <c r="V1" s="90"/>
      <c r="W1" s="90"/>
      <c r="X1" s="90"/>
      <c r="Y1" s="90"/>
    </row>
    <row r="2" spans="1:25" ht="14.25" customHeight="1" x14ac:dyDescent="0.25">
      <c r="A2" s="51"/>
      <c r="B2" s="52" t="s">
        <v>0</v>
      </c>
      <c r="C2" s="14"/>
      <c r="D2" s="14"/>
      <c r="E2" s="14"/>
      <c r="F2" s="14"/>
      <c r="G2" s="14"/>
      <c r="H2" s="15"/>
      <c r="J2" s="17">
        <f>INT(F8/100000)</f>
        <v>1</v>
      </c>
      <c r="K2" s="17">
        <f>INT(F8/10000)-J2*10</f>
        <v>2</v>
      </c>
      <c r="L2" s="17">
        <f>INT(F8/1000)-J2*100-K2*10</f>
        <v>3</v>
      </c>
      <c r="M2" s="17">
        <f>INT(F8/100)-J2*1000-K2*100-L2*10</f>
        <v>0</v>
      </c>
      <c r="N2" s="17">
        <f>INT(F8/10)-J2*10000-K2*1000-L2*100-M2*10</f>
        <v>5</v>
      </c>
      <c r="O2" s="18">
        <f>F8-J2*100000-K2*10000-L2*1000-M2*100-N2*10</f>
        <v>6</v>
      </c>
      <c r="P2" s="16"/>
      <c r="Q2" s="16"/>
      <c r="R2" s="16"/>
      <c r="S2" s="16"/>
      <c r="T2" s="90"/>
      <c r="U2" s="90"/>
      <c r="V2" s="90"/>
      <c r="W2" s="90"/>
      <c r="X2" s="90"/>
      <c r="Y2" s="90"/>
    </row>
    <row r="3" spans="1:25" ht="20.25" x14ac:dyDescent="0.25">
      <c r="A3" s="51"/>
      <c r="B3" s="52" t="s">
        <v>1</v>
      </c>
      <c r="C3" s="14"/>
      <c r="D3" s="14"/>
      <c r="E3" s="14"/>
      <c r="F3" s="14"/>
      <c r="G3" s="14"/>
      <c r="H3" s="15"/>
      <c r="J3" s="16"/>
      <c r="K3" s="16"/>
      <c r="L3" s="16"/>
      <c r="M3" s="16"/>
      <c r="N3" s="16"/>
      <c r="O3" s="16"/>
      <c r="P3" s="16"/>
      <c r="Q3" s="16"/>
      <c r="R3" s="16"/>
      <c r="S3" s="16"/>
      <c r="T3" s="90"/>
      <c r="U3" s="90"/>
      <c r="V3" s="90"/>
      <c r="W3" s="90"/>
      <c r="X3" s="90"/>
      <c r="Y3" s="90"/>
    </row>
    <row r="4" spans="1:25" ht="14.25" customHeight="1" x14ac:dyDescent="0.25">
      <c r="A4" s="51"/>
      <c r="B4" s="52" t="str">
        <f>Dados!C4</f>
        <v>Prof. Gilberto C Antonelli e Profª Camila C C dos Reis</v>
      </c>
      <c r="C4" s="14"/>
      <c r="D4" s="14"/>
      <c r="E4" s="14"/>
      <c r="F4" s="14"/>
      <c r="G4" s="14"/>
      <c r="H4" s="15"/>
      <c r="J4" s="16"/>
      <c r="K4" s="16"/>
      <c r="L4" s="16"/>
      <c r="M4" s="16"/>
      <c r="N4" s="16"/>
      <c r="O4" s="16"/>
      <c r="P4" s="16"/>
      <c r="Q4" s="16"/>
      <c r="R4" s="16"/>
      <c r="S4" s="16"/>
      <c r="T4" s="90"/>
      <c r="U4" s="90"/>
      <c r="V4" s="90"/>
      <c r="W4" s="90"/>
      <c r="X4" s="90"/>
      <c r="Y4" s="90"/>
    </row>
    <row r="5" spans="1:25" ht="14.25" customHeight="1" x14ac:dyDescent="0.25">
      <c r="A5" s="51"/>
      <c r="B5" s="37"/>
      <c r="C5" s="14"/>
      <c r="D5" s="14"/>
      <c r="E5" s="14"/>
      <c r="F5" s="14"/>
      <c r="G5" s="14"/>
      <c r="H5" s="15"/>
      <c r="J5" s="16"/>
      <c r="K5" s="16"/>
      <c r="L5" s="16"/>
      <c r="M5" s="16">
        <f>SUM(L1:L2)</f>
        <v>7</v>
      </c>
      <c r="N5" s="16">
        <f>IF(O1=0,2,O1)</f>
        <v>7</v>
      </c>
      <c r="O5" s="16">
        <f>IF(M1=0,2,M1)</f>
        <v>3</v>
      </c>
      <c r="P5" s="16"/>
      <c r="Q5" s="16"/>
      <c r="R5" s="16"/>
      <c r="S5" s="16"/>
      <c r="T5" s="90"/>
      <c r="U5" s="90"/>
      <c r="V5" s="90"/>
      <c r="W5" s="90"/>
      <c r="X5" s="90"/>
      <c r="Y5" s="90"/>
    </row>
    <row r="6" spans="1:25" ht="14.25" customHeight="1" x14ac:dyDescent="0.25">
      <c r="A6" s="51"/>
      <c r="B6" s="116" t="str">
        <f>Dados!C6</f>
        <v>Aluno(a)</v>
      </c>
      <c r="C6" s="117"/>
      <c r="D6" s="117"/>
      <c r="E6" s="117"/>
      <c r="F6" s="112" t="s">
        <v>2</v>
      </c>
      <c r="G6" s="112"/>
      <c r="H6" s="13"/>
      <c r="I6" s="39"/>
      <c r="J6" s="16"/>
      <c r="K6" s="16"/>
      <c r="L6" s="16"/>
      <c r="M6" s="16">
        <f>SUM(N1:O2)</f>
        <v>21</v>
      </c>
      <c r="N6" s="16">
        <f>IF(N1=0,2,N1)</f>
        <v>3</v>
      </c>
      <c r="O6" s="16">
        <f>IF(M2=0,2,M2)</f>
        <v>2</v>
      </c>
      <c r="P6" s="16"/>
      <c r="Q6" s="16"/>
      <c r="R6" s="16"/>
      <c r="S6" s="16"/>
      <c r="T6" s="90"/>
      <c r="U6" s="90"/>
      <c r="V6" s="90"/>
      <c r="W6" s="90"/>
      <c r="X6" s="90"/>
      <c r="Y6" s="90"/>
    </row>
    <row r="7" spans="1:25" ht="14.25" customHeight="1" x14ac:dyDescent="0.25">
      <c r="A7" s="51"/>
      <c r="B7" s="116" t="str">
        <f>Dados!C7</f>
        <v>Alex Hideki Horie</v>
      </c>
      <c r="C7" s="117"/>
      <c r="D7" s="117"/>
      <c r="E7" s="118"/>
      <c r="F7" s="110">
        <f>Dados!G7</f>
        <v>124337</v>
      </c>
      <c r="G7" s="111"/>
      <c r="H7" s="15"/>
      <c r="J7" s="16"/>
      <c r="K7" s="16"/>
      <c r="L7" s="16"/>
      <c r="M7" s="16">
        <f>O1</f>
        <v>7</v>
      </c>
      <c r="N7" s="16">
        <f>IF(N2=0,2,N2)</f>
        <v>5</v>
      </c>
      <c r="O7" s="16">
        <f>IF(L1=0,2,L1)</f>
        <v>4</v>
      </c>
      <c r="P7" s="16"/>
      <c r="Q7" s="16"/>
      <c r="R7" s="16"/>
      <c r="S7" s="16"/>
      <c r="T7" s="90"/>
      <c r="U7" s="90"/>
      <c r="V7" s="90"/>
      <c r="W7" s="90"/>
      <c r="X7" s="90"/>
      <c r="Y7" s="90"/>
    </row>
    <row r="8" spans="1:25" ht="14.25" customHeight="1" x14ac:dyDescent="0.25">
      <c r="A8" s="51"/>
      <c r="B8" s="119"/>
      <c r="C8" s="120"/>
      <c r="D8" s="120"/>
      <c r="E8" s="120"/>
      <c r="F8" s="109">
        <f>Dados!I6</f>
        <v>123056</v>
      </c>
      <c r="G8" s="109"/>
      <c r="H8" s="13"/>
      <c r="J8" s="16"/>
      <c r="K8" s="16"/>
      <c r="L8" s="16"/>
      <c r="M8" s="16" t="str">
        <f>IF(F7="","???",IF(M7&lt;=1,"BUSCA TABU",IF(M7&lt;=3,"RECOZIMENTO SIMULADO",IF(M7&lt;=5,"ENXAME DE PARTÍCULAS",IF(M7&lt;=7,"COLÔNIA DE FORMIGAS","ALGORITMO GENÉTICO")))))</f>
        <v>COLÔNIA DE FORMIGAS</v>
      </c>
      <c r="N8" s="16"/>
      <c r="O8" s="16"/>
      <c r="P8" s="16"/>
      <c r="Q8" s="16"/>
      <c r="R8" s="16"/>
      <c r="S8" s="16"/>
      <c r="T8" s="90"/>
      <c r="U8" s="90"/>
      <c r="V8" s="90"/>
      <c r="W8" s="90"/>
      <c r="X8" s="90"/>
      <c r="Y8" s="90"/>
    </row>
    <row r="9" spans="1:25" ht="14.25" customHeight="1" x14ac:dyDescent="0.25">
      <c r="A9" s="51"/>
      <c r="B9" s="14"/>
      <c r="C9" s="14"/>
      <c r="D9" s="14"/>
      <c r="E9" s="14"/>
      <c r="F9" s="14"/>
      <c r="G9" s="14"/>
      <c r="H9" s="15"/>
      <c r="J9" s="16"/>
      <c r="K9" s="16"/>
      <c r="L9" s="16"/>
      <c r="M9" s="16" t="s">
        <v>24</v>
      </c>
      <c r="N9" s="16"/>
      <c r="O9" s="16"/>
      <c r="P9" s="16"/>
      <c r="Q9" s="16"/>
      <c r="R9" s="16"/>
      <c r="S9" s="16"/>
      <c r="T9" s="90"/>
      <c r="U9" s="90"/>
      <c r="V9" s="90"/>
      <c r="W9" s="90"/>
      <c r="X9" s="90"/>
      <c r="Y9" s="90"/>
    </row>
    <row r="10" spans="1:25" ht="14.25" customHeight="1" x14ac:dyDescent="0.25">
      <c r="A10" s="51"/>
      <c r="B10" s="122" t="s">
        <v>3</v>
      </c>
      <c r="C10" s="122"/>
      <c r="D10" s="122"/>
      <c r="E10" s="122"/>
      <c r="F10" s="122"/>
      <c r="G10" s="122"/>
      <c r="H10" s="15"/>
      <c r="J10" s="16"/>
      <c r="K10" s="16"/>
      <c r="L10" s="16"/>
      <c r="M10" s="16" t="str">
        <f>CONCATENATE(M9, " ",M8,".")</f>
        <v>Determine quanto deve ser utilizado de cada aparelho de modo a minimizar os custos. Para a solução do problema utilize o método heurístico COLÔNIA DE FORMIGAS.</v>
      </c>
      <c r="N10" s="16"/>
      <c r="O10" s="16"/>
      <c r="P10" s="16"/>
      <c r="Q10" s="16"/>
      <c r="R10" s="16"/>
      <c r="S10" s="16"/>
      <c r="T10" s="90"/>
      <c r="U10" s="90"/>
      <c r="V10" s="90"/>
      <c r="W10" s="90"/>
      <c r="X10" s="90"/>
      <c r="Y10" s="90"/>
    </row>
    <row r="11" spans="1:25" ht="14.25" customHeight="1" x14ac:dyDescent="0.25">
      <c r="A11" s="51"/>
      <c r="B11" s="14"/>
      <c r="C11" s="14"/>
      <c r="D11" s="14"/>
      <c r="E11" s="14"/>
      <c r="F11" s="14"/>
      <c r="G11" s="14"/>
      <c r="H11" s="15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90"/>
      <c r="U11" s="90"/>
      <c r="V11" s="90"/>
      <c r="W11" s="90"/>
      <c r="X11" s="90"/>
      <c r="Y11" s="90"/>
    </row>
    <row r="12" spans="1:25" ht="21" customHeight="1" x14ac:dyDescent="0.25">
      <c r="A12" s="51"/>
      <c r="B12" s="113" t="s">
        <v>52</v>
      </c>
      <c r="C12" s="114"/>
      <c r="D12" s="114"/>
      <c r="E12" s="114"/>
      <c r="F12" s="114"/>
      <c r="G12" s="114"/>
      <c r="H12" s="15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90"/>
      <c r="U12" s="90"/>
      <c r="V12" s="90"/>
      <c r="W12" s="90"/>
      <c r="X12" s="90"/>
      <c r="Y12" s="90"/>
    </row>
    <row r="13" spans="1:25" ht="21" customHeight="1" x14ac:dyDescent="0.25">
      <c r="A13" s="51"/>
      <c r="B13" s="114"/>
      <c r="C13" s="114"/>
      <c r="D13" s="114"/>
      <c r="E13" s="114"/>
      <c r="F13" s="114"/>
      <c r="G13" s="114"/>
      <c r="H13" s="15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90"/>
      <c r="U13" s="90"/>
      <c r="V13" s="90"/>
      <c r="W13" s="90"/>
      <c r="X13" s="90"/>
      <c r="Y13" s="90"/>
    </row>
    <row r="14" spans="1:25" ht="21" customHeight="1" x14ac:dyDescent="0.25">
      <c r="A14" s="51"/>
      <c r="B14" s="114"/>
      <c r="C14" s="114"/>
      <c r="D14" s="114"/>
      <c r="E14" s="114"/>
      <c r="F14" s="114"/>
      <c r="G14" s="114"/>
      <c r="H14" s="15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90"/>
      <c r="U14" s="90"/>
      <c r="V14" s="90"/>
      <c r="W14" s="90"/>
      <c r="X14" s="90"/>
      <c r="Y14" s="90"/>
    </row>
    <row r="15" spans="1:25" ht="21" customHeight="1" x14ac:dyDescent="0.25">
      <c r="A15" s="51"/>
      <c r="B15" s="114"/>
      <c r="C15" s="114"/>
      <c r="D15" s="114"/>
      <c r="E15" s="114"/>
      <c r="F15" s="114"/>
      <c r="G15" s="114"/>
      <c r="H15" s="15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90"/>
      <c r="U15" s="90"/>
      <c r="V15" s="90"/>
      <c r="W15" s="90"/>
      <c r="X15" s="90"/>
      <c r="Y15" s="90"/>
    </row>
    <row r="16" spans="1:25" ht="9.75" customHeight="1" x14ac:dyDescent="0.25">
      <c r="A16" s="51"/>
      <c r="B16" s="114"/>
      <c r="C16" s="114"/>
      <c r="D16" s="114"/>
      <c r="E16" s="114"/>
      <c r="F16" s="114"/>
      <c r="G16" s="114"/>
      <c r="H16" s="15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90"/>
      <c r="U16" s="90"/>
      <c r="V16" s="90"/>
      <c r="W16" s="90"/>
      <c r="X16" s="90"/>
      <c r="Y16" s="90"/>
    </row>
    <row r="17" spans="1:25" ht="14.25" customHeight="1" x14ac:dyDescent="0.25">
      <c r="A17" s="51"/>
      <c r="B17" s="53"/>
      <c r="C17" s="53"/>
      <c r="D17" s="53"/>
      <c r="E17" s="53"/>
      <c r="F17" s="53"/>
      <c r="G17" s="53"/>
      <c r="H17" s="15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90"/>
      <c r="U17" s="90"/>
      <c r="V17" s="90"/>
      <c r="W17" s="90"/>
      <c r="X17" s="90"/>
      <c r="Y17" s="90"/>
    </row>
    <row r="18" spans="1:25" ht="30" customHeight="1" x14ac:dyDescent="0.25">
      <c r="A18" s="51"/>
      <c r="B18" s="115" t="s">
        <v>6</v>
      </c>
      <c r="C18" s="62" t="s">
        <v>9</v>
      </c>
      <c r="D18" s="62" t="s">
        <v>7</v>
      </c>
      <c r="E18" s="115" t="s">
        <v>8</v>
      </c>
      <c r="F18" s="115"/>
      <c r="G18" s="60"/>
      <c r="H18" s="15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90"/>
      <c r="U18" s="90"/>
      <c r="V18" s="90"/>
      <c r="W18" s="90"/>
      <c r="X18" s="90"/>
      <c r="Y18" s="90"/>
    </row>
    <row r="19" spans="1:25" ht="14.25" customHeight="1" x14ac:dyDescent="0.25">
      <c r="A19" s="51"/>
      <c r="B19" s="124"/>
      <c r="C19" s="62" t="s">
        <v>23</v>
      </c>
      <c r="D19" s="62" t="s">
        <v>12</v>
      </c>
      <c r="E19" s="62" t="s">
        <v>10</v>
      </c>
      <c r="F19" s="62" t="s">
        <v>11</v>
      </c>
      <c r="G19" s="61"/>
      <c r="H19" s="15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90"/>
      <c r="U19" s="90"/>
      <c r="V19" s="90"/>
      <c r="W19" s="90"/>
      <c r="X19" s="90"/>
      <c r="Y19" s="90"/>
    </row>
    <row r="20" spans="1:25" ht="14.25" customHeight="1" x14ac:dyDescent="0.25">
      <c r="A20" s="51"/>
      <c r="B20" s="63" t="s">
        <v>13</v>
      </c>
      <c r="C20" s="63">
        <f>M6*1000</f>
        <v>21000</v>
      </c>
      <c r="D20" s="63">
        <f>M5*1000</f>
        <v>7000</v>
      </c>
      <c r="E20" s="63">
        <f>N5</f>
        <v>7</v>
      </c>
      <c r="F20" s="63"/>
      <c r="G20" s="59"/>
      <c r="H20" s="15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90"/>
      <c r="U20" s="90"/>
      <c r="V20" s="90"/>
      <c r="W20" s="90"/>
      <c r="X20" s="90"/>
      <c r="Y20" s="90"/>
    </row>
    <row r="21" spans="1:25" ht="14.25" customHeight="1" x14ac:dyDescent="0.25">
      <c r="A21" s="51"/>
      <c r="B21" s="63" t="s">
        <v>14</v>
      </c>
      <c r="C21" s="63">
        <f>ROUND(40/15*C20,0)</f>
        <v>56000</v>
      </c>
      <c r="D21" s="63">
        <f>2*D20</f>
        <v>14000</v>
      </c>
      <c r="E21" s="63">
        <f t="shared" ref="E21" si="0">N6</f>
        <v>3</v>
      </c>
      <c r="F21" s="63">
        <f>O6</f>
        <v>2</v>
      </c>
      <c r="G21" s="59"/>
      <c r="H21" s="15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</row>
    <row r="22" spans="1:25" ht="14.25" customHeight="1" x14ac:dyDescent="0.25">
      <c r="A22" s="51"/>
      <c r="B22" s="63" t="s">
        <v>15</v>
      </c>
      <c r="C22" s="63">
        <f>ROUND(85/40*C21,0)</f>
        <v>119000</v>
      </c>
      <c r="D22" s="63">
        <f>ROUND(2.5*D21,0)</f>
        <v>35000</v>
      </c>
      <c r="E22" s="63">
        <f t="shared" ref="E22" si="1">N7</f>
        <v>5</v>
      </c>
      <c r="F22" s="63">
        <f>O7</f>
        <v>4</v>
      </c>
      <c r="G22" s="59"/>
      <c r="H22" s="15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</row>
    <row r="23" spans="1:25" ht="14.25" customHeight="1" x14ac:dyDescent="0.25">
      <c r="A23" s="51"/>
      <c r="B23" s="59"/>
      <c r="C23" s="59"/>
      <c r="D23" s="59"/>
      <c r="E23" s="59"/>
      <c r="F23" s="59"/>
      <c r="G23" s="59"/>
      <c r="H23" s="15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</row>
    <row r="24" spans="1:25" ht="98.25" customHeight="1" x14ac:dyDescent="0.25">
      <c r="A24" s="51"/>
      <c r="B24" s="113" t="s">
        <v>48</v>
      </c>
      <c r="C24" s="114"/>
      <c r="D24" s="114"/>
      <c r="E24" s="114"/>
      <c r="F24" s="114"/>
      <c r="G24" s="114"/>
      <c r="H24" s="15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</row>
    <row r="25" spans="1:25" ht="32.450000000000003" customHeight="1" x14ac:dyDescent="0.25">
      <c r="A25" s="51"/>
      <c r="B25" s="121" t="str">
        <f>M10</f>
        <v>Determine quanto deve ser utilizado de cada aparelho de modo a minimizar os custos. Para a solução do problema utilize o método heurístico COLÔNIA DE FORMIGAS.</v>
      </c>
      <c r="C25" s="114"/>
      <c r="D25" s="114"/>
      <c r="E25" s="114"/>
      <c r="F25" s="114"/>
      <c r="G25" s="114"/>
      <c r="H25" s="15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</row>
    <row r="26" spans="1:25" ht="14.25" customHeight="1" x14ac:dyDescent="0.25">
      <c r="A26" s="51"/>
      <c r="B26" s="14"/>
      <c r="C26" s="54"/>
      <c r="D26" s="54"/>
      <c r="E26" s="54"/>
      <c r="F26" s="54"/>
      <c r="G26" s="54"/>
      <c r="H26" s="15"/>
    </row>
    <row r="27" spans="1:25" ht="47.25" customHeight="1" x14ac:dyDescent="0.25">
      <c r="A27" s="51"/>
      <c r="B27" s="108" t="s">
        <v>56</v>
      </c>
      <c r="C27" s="123"/>
      <c r="D27" s="123"/>
      <c r="E27" s="123"/>
      <c r="F27" s="123"/>
      <c r="G27" s="123"/>
      <c r="H27" s="15"/>
    </row>
    <row r="28" spans="1:25" ht="15.75" customHeight="1" x14ac:dyDescent="0.25">
      <c r="A28" s="51"/>
      <c r="B28" s="108" t="s">
        <v>57</v>
      </c>
      <c r="C28" s="108"/>
      <c r="D28" s="108"/>
      <c r="E28" s="108"/>
      <c r="F28" s="108"/>
      <c r="G28" s="108"/>
      <c r="H28" s="15"/>
    </row>
    <row r="29" spans="1:25" x14ac:dyDescent="0.25">
      <c r="A29" s="51"/>
      <c r="B29" s="108"/>
      <c r="C29" s="108"/>
      <c r="D29" s="108"/>
      <c r="E29" s="108"/>
      <c r="F29" s="108"/>
      <c r="G29" s="108"/>
      <c r="H29" s="15"/>
    </row>
    <row r="30" spans="1:25" ht="16.5" thickBot="1" x14ac:dyDescent="0.3">
      <c r="A30" s="55"/>
      <c r="B30" s="56"/>
      <c r="C30" s="57"/>
      <c r="D30" s="57"/>
      <c r="E30" s="57"/>
      <c r="F30" s="57"/>
      <c r="G30" s="57"/>
      <c r="H30" s="58"/>
    </row>
    <row r="31" spans="1:25" ht="14.25" customHeight="1" x14ac:dyDescent="0.25"/>
    <row r="32" spans="1:25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</sheetData>
  <mergeCells count="14">
    <mergeCell ref="B28:G29"/>
    <mergeCell ref="F8:G8"/>
    <mergeCell ref="F7:G7"/>
    <mergeCell ref="F6:G6"/>
    <mergeCell ref="B24:G24"/>
    <mergeCell ref="E18:F18"/>
    <mergeCell ref="B6:E6"/>
    <mergeCell ref="B7:E7"/>
    <mergeCell ref="B8:E8"/>
    <mergeCell ref="B25:G25"/>
    <mergeCell ref="B12:G16"/>
    <mergeCell ref="B10:G10"/>
    <mergeCell ref="B27:G27"/>
    <mergeCell ref="B18:B19"/>
  </mergeCells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BF86C-5CB9-4F27-BF0A-537DC91C5EE6}">
  <sheetPr codeName="Planilha4"/>
  <dimension ref="A1:AN25"/>
  <sheetViews>
    <sheetView workbookViewId="0">
      <selection activeCell="P9" sqref="P9"/>
    </sheetView>
  </sheetViews>
  <sheetFormatPr defaultRowHeight="15" x14ac:dyDescent="0.25"/>
  <cols>
    <col min="1" max="1" width="5" customWidth="1"/>
    <col min="2" max="2" width="9.5703125" customWidth="1"/>
    <col min="3" max="3" width="14" customWidth="1"/>
    <col min="4" max="4" width="7.42578125" customWidth="1"/>
    <col min="5" max="5" width="6.42578125" customWidth="1"/>
    <col min="6" max="7" width="7.5703125" customWidth="1"/>
    <col min="9" max="9" width="7.42578125" customWidth="1"/>
    <col min="10" max="10" width="6.7109375" customWidth="1"/>
    <col min="11" max="11" width="6.85546875" customWidth="1"/>
    <col min="12" max="12" width="6.5703125" customWidth="1"/>
    <col min="13" max="13" width="7" customWidth="1"/>
  </cols>
  <sheetData>
    <row r="1" spans="1:4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8"/>
      <c r="N1" s="19">
        <f>INT(H7/100000)</f>
        <v>1</v>
      </c>
      <c r="O1" s="19">
        <f>INT(H7/10000)-N1*10</f>
        <v>2</v>
      </c>
      <c r="P1" s="19">
        <f>INT(H7/1000)-N1*100-O1*10</f>
        <v>4</v>
      </c>
      <c r="Q1" s="19">
        <f>INT(H7/100)-N1*1000-O1*100-P1*10</f>
        <v>3</v>
      </c>
      <c r="R1" s="20">
        <f>INT(H7/10)-N1*10000-O1*1000-P1*100-Q1*10</f>
        <v>3</v>
      </c>
      <c r="S1" s="20">
        <f>H7-N1*100000-O1*10000-P1*1000-Q1*100-R1*10</f>
        <v>7</v>
      </c>
      <c r="T1" s="21"/>
      <c r="U1" s="21"/>
      <c r="V1" s="21"/>
      <c r="W1" s="21"/>
      <c r="X1" s="16"/>
      <c r="Y1" s="16"/>
      <c r="Z1" s="38"/>
      <c r="AA1" s="38"/>
      <c r="AB1" s="38"/>
      <c r="AC1" s="38"/>
      <c r="AD1" s="38"/>
      <c r="AE1" s="38"/>
      <c r="AF1" s="16"/>
      <c r="AG1" s="16"/>
      <c r="AH1" s="16"/>
      <c r="AI1" s="16"/>
      <c r="AJ1" s="16"/>
      <c r="AK1" s="16"/>
      <c r="AL1" s="16"/>
      <c r="AM1" s="38"/>
      <c r="AN1" s="38"/>
    </row>
    <row r="2" spans="1:40" ht="20.25" x14ac:dyDescent="0.25">
      <c r="A2" s="4"/>
      <c r="B2" s="52" t="s">
        <v>0</v>
      </c>
      <c r="C2" s="64"/>
      <c r="D2" s="64"/>
      <c r="E2" s="64"/>
      <c r="F2" s="64"/>
      <c r="G2" s="64"/>
      <c r="H2" s="64"/>
      <c r="I2" s="64"/>
      <c r="J2" s="64"/>
      <c r="K2" s="64"/>
      <c r="L2" s="65"/>
      <c r="M2" s="22"/>
      <c r="N2" s="19">
        <f>INT(H8/100000)</f>
        <v>1</v>
      </c>
      <c r="O2" s="19">
        <f>INT(H8/10000)-N2*10</f>
        <v>2</v>
      </c>
      <c r="P2" s="19">
        <f>INT(H8/1000)-N2*100-O2*10</f>
        <v>3</v>
      </c>
      <c r="Q2" s="19">
        <f>INT(H8/100)-N2*1000-O2*100-P2*10</f>
        <v>0</v>
      </c>
      <c r="R2" s="20">
        <f>INT(H8/10)-N2*10000-O2*1000-P2*100-Q2*10</f>
        <v>5</v>
      </c>
      <c r="S2" s="20">
        <f>H8-N2*100000-O2*10000-P2*1000-Q2*100-R2*10</f>
        <v>6</v>
      </c>
      <c r="T2" s="16">
        <f>S1</f>
        <v>7</v>
      </c>
      <c r="U2" s="21"/>
      <c r="V2" s="21"/>
      <c r="W2" s="21"/>
      <c r="X2" s="21"/>
      <c r="Y2" s="21"/>
      <c r="Z2" s="22"/>
      <c r="AA2" s="22"/>
      <c r="AB2" s="38"/>
      <c r="AC2" s="38"/>
      <c r="AD2" s="38"/>
      <c r="AE2" s="38"/>
      <c r="AF2" s="16"/>
      <c r="AG2" s="16"/>
      <c r="AH2" s="16"/>
      <c r="AI2" s="16"/>
      <c r="AJ2" s="16"/>
      <c r="AK2" s="16"/>
      <c r="AL2" s="16"/>
      <c r="AM2" s="38"/>
      <c r="AN2" s="38"/>
    </row>
    <row r="3" spans="1:40" ht="20.25" x14ac:dyDescent="0.25">
      <c r="A3" s="4"/>
      <c r="B3" s="52" t="s">
        <v>1</v>
      </c>
      <c r="C3" s="64"/>
      <c r="D3" s="64"/>
      <c r="E3" s="64"/>
      <c r="F3" s="64"/>
      <c r="G3" s="64"/>
      <c r="H3" s="64"/>
      <c r="I3" s="64"/>
      <c r="J3" s="64"/>
      <c r="K3" s="64"/>
      <c r="L3" s="65"/>
      <c r="M3" s="22"/>
      <c r="N3" s="21"/>
      <c r="O3" s="21"/>
      <c r="P3" s="21"/>
      <c r="Q3" s="21"/>
      <c r="R3" s="21"/>
      <c r="S3" s="21"/>
      <c r="T3" s="16" t="str">
        <f>IF(H7="","???",IF(T2&lt;=1,"BUSCA TABU",IF(T2&lt;=3,"RECOZIMENTO SIMULADO",IF(T2&lt;=5,"ENXAME DE PARTÍCULAS",IF(T2&lt;=7,"COLÔNIA DE FORMIGAS","ALGORITMO GENÉTICO")))))</f>
        <v>COLÔNIA DE FORMIGAS</v>
      </c>
      <c r="U3" s="21"/>
      <c r="V3" s="21"/>
      <c r="W3" s="21"/>
      <c r="X3" s="21"/>
      <c r="Y3" s="21"/>
      <c r="Z3" s="22"/>
      <c r="AA3" s="22"/>
      <c r="AB3" s="38"/>
      <c r="AC3" s="38"/>
      <c r="AD3" s="38"/>
      <c r="AE3" s="38"/>
      <c r="AF3" s="16"/>
      <c r="AG3" s="16"/>
      <c r="AH3" s="16"/>
      <c r="AI3" s="16"/>
      <c r="AJ3" s="16"/>
      <c r="AK3" s="16"/>
      <c r="AL3" s="16"/>
      <c r="AM3" s="38"/>
      <c r="AN3" s="38"/>
    </row>
    <row r="4" spans="1:40" ht="20.25" x14ac:dyDescent="0.25">
      <c r="A4" s="4"/>
      <c r="B4" s="52" t="str">
        <f>Dados!C4</f>
        <v>Prof. Gilberto C Antonelli e Profª Camila C C dos Reis</v>
      </c>
      <c r="C4" s="64"/>
      <c r="D4" s="64"/>
      <c r="E4" s="64"/>
      <c r="F4" s="64"/>
      <c r="G4" s="64"/>
      <c r="H4" s="64"/>
      <c r="I4" s="64"/>
      <c r="J4" s="64"/>
      <c r="K4" s="64"/>
      <c r="L4" s="65"/>
      <c r="M4" s="22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2"/>
      <c r="AA4" s="22"/>
      <c r="AB4" s="38"/>
      <c r="AC4" s="38"/>
      <c r="AD4" s="38"/>
      <c r="AE4" s="38"/>
      <c r="AF4" s="16"/>
      <c r="AG4" s="16"/>
      <c r="AH4" s="16"/>
      <c r="AI4" s="16"/>
      <c r="AJ4" s="16"/>
      <c r="AK4" s="16"/>
      <c r="AL4" s="16"/>
      <c r="AM4" s="38"/>
      <c r="AN4" s="38"/>
    </row>
    <row r="5" spans="1:40" ht="18.75" x14ac:dyDescent="0.25">
      <c r="A5" s="4"/>
      <c r="B5" s="37"/>
      <c r="C5" s="64"/>
      <c r="D5" s="64"/>
      <c r="E5" s="64"/>
      <c r="F5" s="64"/>
      <c r="G5" s="64"/>
      <c r="H5" s="64"/>
      <c r="I5" s="64"/>
      <c r="J5" s="64"/>
      <c r="K5" s="64"/>
      <c r="L5" s="65"/>
      <c r="M5" s="22"/>
      <c r="N5" s="21"/>
      <c r="O5" s="21"/>
      <c r="P5" s="21">
        <f>ROUND(SUM(Q1:Q2)/4*10,0)</f>
        <v>8</v>
      </c>
      <c r="Q5" s="21">
        <f>ROUND(SUM(R1:R2)/4*10,0)</f>
        <v>20</v>
      </c>
      <c r="R5" s="21"/>
      <c r="S5" s="21">
        <f>SUM(O1:S2)/100</f>
        <v>0.35</v>
      </c>
      <c r="T5" s="21">
        <f>ROUND(S5*0.8/0.6,2)</f>
        <v>0.47</v>
      </c>
      <c r="U5" s="21"/>
      <c r="V5" s="21"/>
      <c r="W5" s="21"/>
      <c r="X5" s="21"/>
      <c r="Y5" s="21"/>
      <c r="Z5" s="22"/>
      <c r="AA5" s="22"/>
      <c r="AB5" s="38"/>
      <c r="AC5" s="38"/>
      <c r="AD5" s="38"/>
      <c r="AE5" s="38"/>
      <c r="AF5" s="16"/>
      <c r="AG5" s="16"/>
      <c r="AH5" s="16"/>
      <c r="AI5" s="16"/>
      <c r="AJ5" s="16"/>
      <c r="AK5" s="16"/>
      <c r="AL5" s="16"/>
      <c r="AM5" s="38"/>
      <c r="AN5" s="38"/>
    </row>
    <row r="6" spans="1:40" ht="18.75" x14ac:dyDescent="0.25">
      <c r="A6" s="4"/>
      <c r="B6" s="125" t="str">
        <f>Dados!C6</f>
        <v>Aluno(a)</v>
      </c>
      <c r="C6" s="125"/>
      <c r="D6" s="125"/>
      <c r="E6" s="125"/>
      <c r="F6" s="125"/>
      <c r="G6" s="125"/>
      <c r="H6" s="126" t="s">
        <v>2</v>
      </c>
      <c r="I6" s="126"/>
      <c r="J6" s="66"/>
      <c r="K6" s="66"/>
      <c r="L6" s="67"/>
      <c r="M6" s="23"/>
      <c r="N6" s="20"/>
      <c r="O6" s="20"/>
      <c r="P6" s="21">
        <f>ROUND(SUM(P1:P2)/4*10,0)</f>
        <v>18</v>
      </c>
      <c r="Q6" s="21">
        <f>ROUND(SUM(Q1:Q2)/4*10,0)</f>
        <v>8</v>
      </c>
      <c r="R6" s="21"/>
      <c r="S6" s="21"/>
      <c r="T6" s="21"/>
      <c r="U6" s="21"/>
      <c r="V6" s="21"/>
      <c r="W6" s="21"/>
      <c r="X6" s="21"/>
      <c r="Y6" s="21"/>
      <c r="Z6" s="22"/>
      <c r="AA6" s="22"/>
      <c r="AB6" s="38"/>
      <c r="AC6" s="38"/>
      <c r="AD6" s="38"/>
      <c r="AE6" s="38"/>
      <c r="AF6" s="16"/>
      <c r="AG6" s="16"/>
      <c r="AH6" s="16"/>
      <c r="AI6" s="16"/>
      <c r="AJ6" s="16"/>
      <c r="AK6" s="16"/>
      <c r="AL6" s="16"/>
      <c r="AM6" s="38"/>
      <c r="AN6" s="38"/>
    </row>
    <row r="7" spans="1:40" ht="18.75" x14ac:dyDescent="0.25">
      <c r="A7" s="4"/>
      <c r="B7" s="125" t="str">
        <f>Dados!C7</f>
        <v>Alex Hideki Horie</v>
      </c>
      <c r="C7" s="125"/>
      <c r="D7" s="125"/>
      <c r="E7" s="125"/>
      <c r="F7" s="125"/>
      <c r="G7" s="125"/>
      <c r="H7" s="126">
        <f>Dados!G7</f>
        <v>124337</v>
      </c>
      <c r="I7" s="126"/>
      <c r="J7" s="64"/>
      <c r="K7" s="64"/>
      <c r="L7" s="65"/>
      <c r="M7" s="22"/>
      <c r="N7" s="21"/>
      <c r="O7" s="21"/>
      <c r="P7" s="21">
        <f>100-SUM(P5:P6)</f>
        <v>74</v>
      </c>
      <c r="Q7" s="21">
        <f>100-SUM(Q5:Q6)</f>
        <v>72</v>
      </c>
      <c r="R7" s="21"/>
      <c r="S7" s="21"/>
      <c r="T7" s="21"/>
      <c r="U7" s="21"/>
      <c r="V7" s="21"/>
      <c r="W7" s="21"/>
      <c r="X7" s="21"/>
      <c r="Y7" s="21"/>
      <c r="Z7" s="22"/>
      <c r="AA7" s="22"/>
      <c r="AB7" s="38"/>
      <c r="AC7" s="38"/>
      <c r="AD7" s="38"/>
      <c r="AE7" s="38"/>
      <c r="AF7" s="16"/>
      <c r="AG7" s="16"/>
      <c r="AH7" s="16"/>
      <c r="AI7" s="16"/>
      <c r="AJ7" s="16"/>
      <c r="AK7" s="16"/>
      <c r="AL7" s="16"/>
      <c r="AM7" s="38"/>
      <c r="AN7" s="38"/>
    </row>
    <row r="8" spans="1:40" ht="18.75" x14ac:dyDescent="0.25">
      <c r="A8" s="4"/>
      <c r="B8" s="127"/>
      <c r="C8" s="127"/>
      <c r="D8" s="127"/>
      <c r="E8" s="127"/>
      <c r="F8" s="127"/>
      <c r="G8" s="127"/>
      <c r="H8" s="128">
        <f>Dados!I6</f>
        <v>123056</v>
      </c>
      <c r="I8" s="128"/>
      <c r="J8" s="64"/>
      <c r="K8" s="64"/>
      <c r="L8" s="65"/>
      <c r="M8" s="22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2"/>
      <c r="AA8" s="22"/>
      <c r="AB8" s="38"/>
      <c r="AC8" s="38"/>
      <c r="AD8" s="38"/>
      <c r="AE8" s="38"/>
      <c r="AF8" s="16"/>
      <c r="AG8" s="16"/>
      <c r="AH8" s="16"/>
      <c r="AI8" s="16"/>
      <c r="AJ8" s="16"/>
      <c r="AK8" s="16"/>
      <c r="AL8" s="16"/>
      <c r="AM8" s="38"/>
      <c r="AN8" s="38"/>
    </row>
    <row r="9" spans="1:40" x14ac:dyDescent="0.25">
      <c r="A9" s="4"/>
      <c r="B9" s="64"/>
      <c r="C9" s="64"/>
      <c r="D9" s="64"/>
      <c r="E9" s="64"/>
      <c r="F9" s="64"/>
      <c r="G9" s="64"/>
      <c r="H9" s="64"/>
      <c r="I9" s="64"/>
      <c r="J9" s="64"/>
      <c r="K9" s="64"/>
      <c r="L9" s="65"/>
      <c r="M9" s="22"/>
      <c r="N9" s="21"/>
      <c r="O9" s="21"/>
      <c r="P9" s="16" t="s">
        <v>25</v>
      </c>
      <c r="Q9" s="21"/>
      <c r="R9" s="21"/>
      <c r="S9" s="21"/>
      <c r="T9" s="21"/>
      <c r="U9" s="21"/>
      <c r="V9" s="21"/>
      <c r="W9" s="21"/>
      <c r="X9" s="21"/>
      <c r="Y9" s="21"/>
      <c r="Z9" s="22"/>
      <c r="AA9" s="22"/>
      <c r="AB9" s="38"/>
      <c r="AC9" s="38"/>
      <c r="AD9" s="38"/>
      <c r="AE9" s="38"/>
      <c r="AF9" s="16"/>
      <c r="AG9" s="16"/>
      <c r="AH9" s="16"/>
      <c r="AI9" s="16"/>
      <c r="AJ9" s="16"/>
      <c r="AK9" s="16"/>
      <c r="AL9" s="16"/>
      <c r="AM9" s="38"/>
      <c r="AN9" s="38"/>
    </row>
    <row r="10" spans="1:40" ht="18.75" x14ac:dyDescent="0.25">
      <c r="A10" s="4"/>
      <c r="B10" s="122" t="s">
        <v>4</v>
      </c>
      <c r="C10" s="122"/>
      <c r="D10" s="122"/>
      <c r="E10" s="122"/>
      <c r="F10" s="122"/>
      <c r="G10" s="122"/>
      <c r="H10" s="122"/>
      <c r="I10" s="122"/>
      <c r="J10" s="122"/>
      <c r="K10" s="122"/>
      <c r="L10" s="68"/>
      <c r="M10" s="24"/>
      <c r="N10" s="21"/>
      <c r="O10" s="21"/>
      <c r="P10" s="16" t="str">
        <f>CONCATENATE(P9, " ",T3,".")</f>
        <v>Determine qual a quantidade (em percentual) de cada alimento que deverá compor a nova ração de forma a minimizar os custos. Para a solução do problema utilize o método heurístico COLÔNIA DE FORMIGAS.</v>
      </c>
      <c r="Q10" s="21"/>
      <c r="R10" s="21"/>
      <c r="S10" s="21"/>
      <c r="T10" s="21"/>
      <c r="U10" s="21"/>
      <c r="V10" s="21"/>
      <c r="W10" s="21"/>
      <c r="X10" s="21"/>
      <c r="Y10" s="21"/>
      <c r="Z10" s="22"/>
      <c r="AA10" s="22"/>
      <c r="AB10" s="38"/>
      <c r="AC10" s="38"/>
      <c r="AD10" s="38"/>
      <c r="AE10" s="38"/>
      <c r="AF10" s="16"/>
      <c r="AG10" s="16"/>
      <c r="AH10" s="16"/>
      <c r="AI10" s="16"/>
      <c r="AJ10" s="16"/>
      <c r="AK10" s="16"/>
      <c r="AL10" s="16"/>
      <c r="AM10" s="38"/>
      <c r="AN10" s="38"/>
    </row>
    <row r="11" spans="1:40" x14ac:dyDescent="0.25">
      <c r="A11" s="4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5"/>
      <c r="M11" s="22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2"/>
      <c r="AA11" s="22"/>
      <c r="AB11" s="38"/>
      <c r="AC11" s="38"/>
      <c r="AD11" s="38"/>
      <c r="AE11" s="38"/>
      <c r="AF11" s="16"/>
      <c r="AG11" s="16"/>
      <c r="AH11" s="16"/>
      <c r="AI11" s="16"/>
      <c r="AJ11" s="16"/>
      <c r="AK11" s="16"/>
      <c r="AL11" s="16"/>
      <c r="AM11" s="38"/>
      <c r="AN11" s="38"/>
    </row>
    <row r="12" spans="1:40" ht="131.25" customHeight="1" x14ac:dyDescent="0.25">
      <c r="A12" s="4"/>
      <c r="B12" s="130" t="s">
        <v>53</v>
      </c>
      <c r="C12" s="130"/>
      <c r="D12" s="130"/>
      <c r="E12" s="130"/>
      <c r="F12" s="130"/>
      <c r="G12" s="130"/>
      <c r="H12" s="130"/>
      <c r="I12" s="130"/>
      <c r="J12" s="130"/>
      <c r="K12" s="130"/>
      <c r="L12" s="70"/>
      <c r="M12" s="25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2"/>
      <c r="AA12" s="22"/>
      <c r="AB12" s="38"/>
      <c r="AC12" s="38"/>
      <c r="AD12" s="38"/>
      <c r="AE12" s="38"/>
      <c r="AF12" s="16"/>
      <c r="AG12" s="16"/>
      <c r="AH12" s="16"/>
      <c r="AI12" s="16"/>
      <c r="AJ12" s="16"/>
      <c r="AK12" s="16"/>
      <c r="AL12" s="16"/>
      <c r="AM12" s="38"/>
      <c r="AN12" s="38"/>
    </row>
    <row r="13" spans="1:40" ht="25.5" customHeight="1" x14ac:dyDescent="0.25">
      <c r="A13" s="4"/>
      <c r="B13" s="27"/>
      <c r="C13" s="76" t="s">
        <v>16</v>
      </c>
      <c r="D13" s="131" t="s">
        <v>17</v>
      </c>
      <c r="E13" s="131"/>
      <c r="F13" s="131"/>
      <c r="G13" s="131" t="s">
        <v>18</v>
      </c>
      <c r="H13" s="131"/>
      <c r="I13" s="131"/>
      <c r="J13" s="69"/>
      <c r="K13" s="69"/>
      <c r="L13" s="70"/>
      <c r="M13" s="25"/>
      <c r="N13" s="21"/>
      <c r="O13" s="21"/>
      <c r="P13" s="21"/>
      <c r="Q13" s="16"/>
      <c r="R13" s="16"/>
      <c r="S13" s="16"/>
      <c r="T13" s="16"/>
      <c r="U13" s="16"/>
      <c r="V13" s="16"/>
      <c r="W13" s="16"/>
      <c r="X13" s="21"/>
      <c r="Y13" s="21"/>
      <c r="Z13" s="22"/>
      <c r="AA13" s="22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</row>
    <row r="14" spans="1:40" ht="18" customHeight="1" x14ac:dyDescent="0.25">
      <c r="A14" s="4"/>
      <c r="B14" s="27"/>
      <c r="C14" s="71" t="s">
        <v>22</v>
      </c>
      <c r="D14" s="132" t="str">
        <f>_xlfn.CONCAT(P5,"g")</f>
        <v>8g</v>
      </c>
      <c r="E14" s="132"/>
      <c r="F14" s="132"/>
      <c r="G14" s="132" t="str">
        <f>_xlfn.CONCAT(Q5,"g")</f>
        <v>20g</v>
      </c>
      <c r="H14" s="132"/>
      <c r="I14" s="132"/>
      <c r="J14" s="69"/>
      <c r="K14" s="69"/>
      <c r="L14" s="70"/>
      <c r="M14" s="25"/>
      <c r="N14" s="22"/>
      <c r="O14" s="22"/>
      <c r="P14" s="22"/>
      <c r="Q14" s="38"/>
      <c r="R14" s="38"/>
      <c r="S14" s="38"/>
      <c r="T14" s="38"/>
      <c r="U14" s="38"/>
      <c r="V14" s="38"/>
      <c r="W14" s="38"/>
      <c r="X14" s="22"/>
      <c r="Y14" s="22"/>
      <c r="Z14" s="22"/>
      <c r="AA14" s="22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0" ht="15.75" customHeight="1" x14ac:dyDescent="0.25">
      <c r="A15" s="4"/>
      <c r="B15" s="27"/>
      <c r="C15" s="71" t="s">
        <v>19</v>
      </c>
      <c r="D15" s="132" t="str">
        <f t="shared" ref="D15:D16" si="0">_xlfn.CONCAT(P6,"g")</f>
        <v>18g</v>
      </c>
      <c r="E15" s="132"/>
      <c r="F15" s="132"/>
      <c r="G15" s="132" t="str">
        <f t="shared" ref="G15:G16" si="1">_xlfn.CONCAT(Q6,"g")</f>
        <v>8g</v>
      </c>
      <c r="H15" s="132"/>
      <c r="I15" s="132"/>
      <c r="J15" s="69"/>
      <c r="K15" s="69"/>
      <c r="L15" s="70"/>
      <c r="M15" s="25"/>
      <c r="N15" s="22"/>
      <c r="O15" s="22"/>
      <c r="P15" s="22"/>
      <c r="Q15" s="38"/>
      <c r="R15" s="38"/>
      <c r="S15" s="38"/>
      <c r="T15" s="38"/>
      <c r="U15" s="38"/>
      <c r="V15" s="38"/>
      <c r="W15" s="38"/>
      <c r="X15" s="22"/>
      <c r="Y15" s="22"/>
      <c r="Z15" s="22"/>
      <c r="AA15" s="22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</row>
    <row r="16" spans="1:40" ht="17.25" customHeight="1" x14ac:dyDescent="0.25">
      <c r="A16" s="4"/>
      <c r="B16" s="27"/>
      <c r="C16" s="71" t="s">
        <v>20</v>
      </c>
      <c r="D16" s="132" t="str">
        <f t="shared" si="0"/>
        <v>74g</v>
      </c>
      <c r="E16" s="132"/>
      <c r="F16" s="132"/>
      <c r="G16" s="132" t="str">
        <f t="shared" si="1"/>
        <v>72g</v>
      </c>
      <c r="H16" s="132"/>
      <c r="I16" s="132"/>
      <c r="J16" s="69"/>
      <c r="K16" s="69"/>
      <c r="L16" s="70"/>
      <c r="M16" s="25"/>
      <c r="N16" s="22"/>
      <c r="O16" s="22"/>
      <c r="P16" s="22"/>
      <c r="Q16" s="38"/>
      <c r="R16" s="38"/>
      <c r="S16" s="38"/>
      <c r="T16" s="38"/>
      <c r="U16" s="38"/>
      <c r="V16" s="38"/>
      <c r="W16" s="38"/>
      <c r="X16" s="22"/>
      <c r="Y16" s="22"/>
      <c r="Z16" s="22"/>
      <c r="AA16" s="22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</row>
    <row r="17" spans="1:40" ht="14.25" customHeight="1" x14ac:dyDescent="0.25">
      <c r="A17" s="4"/>
      <c r="B17" s="27"/>
      <c r="C17" s="71" t="s">
        <v>21</v>
      </c>
      <c r="D17" s="133" t="str">
        <f>_xlfn.CONCAT("R$ ",S5)</f>
        <v>R$ 0,35</v>
      </c>
      <c r="E17" s="133"/>
      <c r="F17" s="133"/>
      <c r="G17" s="133" t="str">
        <f>_xlfn.CONCAT("R$ ",T5)</f>
        <v>R$ 0,47</v>
      </c>
      <c r="H17" s="133"/>
      <c r="I17" s="133"/>
      <c r="J17" s="69"/>
      <c r="K17" s="69"/>
      <c r="L17" s="70"/>
      <c r="M17" s="25"/>
      <c r="N17" s="22"/>
      <c r="O17" s="22"/>
      <c r="P17" s="22"/>
      <c r="Q17" s="38"/>
      <c r="R17" s="38"/>
      <c r="S17" s="38"/>
      <c r="T17" s="38"/>
      <c r="U17" s="38"/>
      <c r="V17" s="38"/>
      <c r="W17" s="38"/>
      <c r="X17" s="22"/>
      <c r="Y17" s="22"/>
      <c r="Z17" s="22"/>
      <c r="AA17" s="22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</row>
    <row r="18" spans="1:40" x14ac:dyDescent="0.25">
      <c r="A18" s="4"/>
      <c r="B18" s="72"/>
      <c r="C18" s="72"/>
      <c r="D18" s="72"/>
      <c r="E18" s="72"/>
      <c r="F18" s="72"/>
      <c r="G18" s="72"/>
      <c r="H18" s="72"/>
      <c r="I18" s="72"/>
      <c r="J18" s="72"/>
      <c r="K18" s="10"/>
      <c r="L18" s="6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</row>
    <row r="19" spans="1:40" ht="47.25" customHeight="1" x14ac:dyDescent="0.25">
      <c r="A19" s="4"/>
      <c r="B19" s="129" t="str">
        <f>P10</f>
        <v>Determine qual a quantidade (em percentual) de cada alimento que deverá compor a nova ração de forma a minimizar os custos. Para a solução do problema utilize o método heurístico COLÔNIA DE FORMIGAS.</v>
      </c>
      <c r="C19" s="129"/>
      <c r="D19" s="129"/>
      <c r="E19" s="129"/>
      <c r="F19" s="129"/>
      <c r="G19" s="129"/>
      <c r="H19" s="129"/>
      <c r="I19" s="129"/>
      <c r="J19" s="129"/>
      <c r="K19" s="129"/>
      <c r="L19" s="73"/>
      <c r="M19" s="77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</row>
    <row r="20" spans="1:40" ht="15.75" customHeight="1" x14ac:dyDescent="0.25">
      <c r="A20" s="96"/>
      <c r="B20" s="108" t="s">
        <v>56</v>
      </c>
      <c r="C20" s="108"/>
      <c r="D20" s="108"/>
      <c r="E20" s="108"/>
      <c r="F20" s="108"/>
      <c r="G20" s="108"/>
      <c r="H20" s="108"/>
      <c r="I20" s="108"/>
      <c r="J20" s="108"/>
      <c r="K20" s="108"/>
      <c r="L20" s="74"/>
      <c r="M20" s="26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</row>
    <row r="21" spans="1:40" ht="15" customHeight="1" x14ac:dyDescent="0.25">
      <c r="A21" s="96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6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</row>
    <row r="22" spans="1:40" ht="15.75" customHeight="1" x14ac:dyDescent="0.25">
      <c r="A22" s="96"/>
      <c r="B22" s="96"/>
      <c r="C22" s="96"/>
      <c r="D22" s="96"/>
      <c r="E22" s="96"/>
      <c r="F22" s="96"/>
      <c r="G22" s="98"/>
      <c r="H22" s="98"/>
      <c r="I22" s="98"/>
      <c r="J22" s="98"/>
      <c r="K22" s="98"/>
      <c r="L22" s="6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</row>
    <row r="23" spans="1:40" ht="15.75" customHeight="1" x14ac:dyDescent="0.25">
      <c r="A23" s="96"/>
      <c r="B23" s="108" t="s">
        <v>57</v>
      </c>
      <c r="C23" s="108"/>
      <c r="D23" s="108"/>
      <c r="E23" s="108"/>
      <c r="F23" s="108"/>
      <c r="G23" s="108"/>
      <c r="H23" s="108"/>
      <c r="I23" s="108"/>
      <c r="J23" s="108"/>
      <c r="K23" s="108"/>
      <c r="L23" s="6"/>
    </row>
    <row r="24" spans="1:40" ht="15" customHeight="1" x14ac:dyDescent="0.25">
      <c r="A24" s="96"/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6"/>
    </row>
    <row r="25" spans="1:40" ht="15.75" thickBot="1" x14ac:dyDescent="0.3">
      <c r="A25" s="9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97"/>
    </row>
  </sheetData>
  <mergeCells count="21">
    <mergeCell ref="B23:K24"/>
    <mergeCell ref="B20:K21"/>
    <mergeCell ref="B19:K19"/>
    <mergeCell ref="B10:K10"/>
    <mergeCell ref="B12:K12"/>
    <mergeCell ref="D13:F13"/>
    <mergeCell ref="D14:F14"/>
    <mergeCell ref="D15:F15"/>
    <mergeCell ref="D16:F16"/>
    <mergeCell ref="D17:F17"/>
    <mergeCell ref="G13:I13"/>
    <mergeCell ref="G14:I14"/>
    <mergeCell ref="G15:I15"/>
    <mergeCell ref="G16:I16"/>
    <mergeCell ref="G17:I17"/>
    <mergeCell ref="B6:G6"/>
    <mergeCell ref="H6:I6"/>
    <mergeCell ref="B7:G7"/>
    <mergeCell ref="H7:I7"/>
    <mergeCell ref="B8:G8"/>
    <mergeCell ref="H8:I8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4C877-2E5C-4C78-88E0-3CE7096EE407}">
  <sheetPr codeName="Planilha5"/>
  <dimension ref="A1:Z92"/>
  <sheetViews>
    <sheetView tabSelected="1" topLeftCell="A13" workbookViewId="0">
      <selection activeCell="B10" sqref="B10:J10"/>
    </sheetView>
  </sheetViews>
  <sheetFormatPr defaultColWidth="14.42578125" defaultRowHeight="15" x14ac:dyDescent="0.25"/>
  <cols>
    <col min="1" max="1" width="4.140625" customWidth="1"/>
    <col min="2" max="2" width="18.5703125" customWidth="1"/>
    <col min="3" max="3" width="9.85546875" customWidth="1"/>
    <col min="4" max="4" width="11.5703125" customWidth="1"/>
    <col min="5" max="6" width="8.7109375" customWidth="1"/>
    <col min="7" max="7" width="9.5703125" customWidth="1"/>
    <col min="8" max="9" width="8.7109375" customWidth="1"/>
    <col min="10" max="10" width="11" customWidth="1"/>
    <col min="11" max="11" width="6.140625" customWidth="1"/>
    <col min="12" max="15" width="8.7109375" customWidth="1"/>
  </cols>
  <sheetData>
    <row r="1" spans="1:26" ht="15" customHeigh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3"/>
      <c r="L1" s="16"/>
      <c r="M1" s="17">
        <f>INT(F7/100000)</f>
        <v>1</v>
      </c>
      <c r="N1" s="17">
        <f>INT(F7/10000)-M1*10</f>
        <v>2</v>
      </c>
      <c r="O1" s="17">
        <f>INT(F7/1000)-M1*100-N1*10</f>
        <v>4</v>
      </c>
      <c r="P1" s="17">
        <f>INT(F7/100)-M1*1000-N1*100-O1*10</f>
        <v>3</v>
      </c>
      <c r="Q1" s="17">
        <f>INT(F7/10)-M1*10000-N1*1000-O1*100-P1*10</f>
        <v>3</v>
      </c>
      <c r="R1" s="18">
        <f>F7-M1*100000-N1*10000-O1*1000-P1*100-Q1*10</f>
        <v>7</v>
      </c>
      <c r="S1" s="16"/>
      <c r="T1" s="16"/>
      <c r="U1" s="16"/>
      <c r="V1" s="16"/>
      <c r="W1" s="38"/>
      <c r="X1" s="38"/>
      <c r="Y1" s="16"/>
      <c r="Z1" s="16"/>
    </row>
    <row r="2" spans="1:26" ht="14.25" customHeight="1" x14ac:dyDescent="0.25">
      <c r="A2" s="4"/>
      <c r="B2" s="5" t="s">
        <v>0</v>
      </c>
      <c r="C2" s="10"/>
      <c r="D2" s="10"/>
      <c r="E2" s="10"/>
      <c r="F2" s="10"/>
      <c r="G2" s="10"/>
      <c r="H2" s="10"/>
      <c r="I2" s="10"/>
      <c r="J2" s="10"/>
      <c r="K2" s="6"/>
      <c r="L2" s="16"/>
      <c r="M2" s="17">
        <f>INT(F8/100000)</f>
        <v>1</v>
      </c>
      <c r="N2" s="17">
        <f>INT(F8/10000)-M2*10</f>
        <v>2</v>
      </c>
      <c r="O2" s="17">
        <f>INT(F8/1000)-M2*100-N2*10</f>
        <v>3</v>
      </c>
      <c r="P2" s="17">
        <f>INT(F8/100)-M2*1000-N2*100-O2*10</f>
        <v>0</v>
      </c>
      <c r="Q2" s="17">
        <f>INT(F8/10)-M2*10000-N2*1000-O2*100-P2*10</f>
        <v>5</v>
      </c>
      <c r="R2" s="18">
        <f>F8-M2*100000-N2*10000-O2*1000-P2*100-Q2*10</f>
        <v>6</v>
      </c>
      <c r="S2" s="16"/>
      <c r="T2" s="16"/>
      <c r="U2" s="16"/>
      <c r="V2" s="16"/>
      <c r="W2" s="38"/>
      <c r="X2" s="38"/>
      <c r="Y2" s="16"/>
      <c r="Z2" s="16"/>
    </row>
    <row r="3" spans="1:26" ht="20.25" x14ac:dyDescent="0.25">
      <c r="A3" s="4"/>
      <c r="B3" s="5" t="s">
        <v>1</v>
      </c>
      <c r="C3" s="10"/>
      <c r="D3" s="10"/>
      <c r="E3" s="10"/>
      <c r="F3" s="10"/>
      <c r="G3" s="10"/>
      <c r="H3" s="10"/>
      <c r="I3" s="10"/>
      <c r="J3" s="10"/>
      <c r="K3" s="6"/>
      <c r="L3" s="16"/>
      <c r="M3" s="16"/>
      <c r="N3" s="16"/>
      <c r="O3" s="16"/>
      <c r="P3" s="36"/>
      <c r="Q3" s="36"/>
      <c r="R3" s="16"/>
      <c r="S3" s="16"/>
      <c r="T3" s="16"/>
      <c r="U3" s="16"/>
      <c r="V3" s="16"/>
      <c r="W3" s="38"/>
      <c r="X3" s="38"/>
      <c r="Y3" s="16"/>
      <c r="Z3" s="16"/>
    </row>
    <row r="4" spans="1:26" ht="14.25" customHeight="1" x14ac:dyDescent="0.25">
      <c r="A4" s="4"/>
      <c r="B4" s="5" t="str">
        <f>Dados!C4</f>
        <v>Prof. Gilberto C Antonelli e Profª Camila C C dos Reis</v>
      </c>
      <c r="C4" s="10"/>
      <c r="D4" s="10"/>
      <c r="E4" s="10"/>
      <c r="F4" s="10"/>
      <c r="G4" s="10"/>
      <c r="H4" s="10"/>
      <c r="I4" s="10"/>
      <c r="J4" s="10"/>
      <c r="K4" s="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38"/>
      <c r="X4" s="38"/>
      <c r="Y4" s="16"/>
      <c r="Z4" s="16"/>
    </row>
    <row r="5" spans="1:26" ht="14.25" customHeight="1" x14ac:dyDescent="0.25">
      <c r="A5" s="4"/>
      <c r="B5" s="37"/>
      <c r="C5" s="14"/>
      <c r="D5" s="14"/>
      <c r="E5" s="14"/>
      <c r="F5" s="14"/>
      <c r="G5" s="14"/>
      <c r="H5" s="14"/>
      <c r="I5" s="14"/>
      <c r="J5" s="14"/>
      <c r="K5" s="15"/>
      <c r="L5" s="16"/>
      <c r="M5" s="16"/>
      <c r="N5" s="16"/>
      <c r="O5" s="16"/>
      <c r="P5" s="16"/>
      <c r="Q5" s="16"/>
      <c r="R5" s="16">
        <f>ROUND(SUM(O1:R2)/80,1)</f>
        <v>0.4</v>
      </c>
      <c r="S5" s="83">
        <f>ROUND(S7*10.8/2.03,2)</f>
        <v>18.62</v>
      </c>
      <c r="T5" s="16"/>
      <c r="U5" s="16"/>
      <c r="V5" s="16"/>
      <c r="W5" s="38"/>
      <c r="X5" s="38"/>
      <c r="Y5" s="16"/>
      <c r="Z5" s="16"/>
    </row>
    <row r="6" spans="1:26" ht="14.25" customHeight="1" x14ac:dyDescent="0.25">
      <c r="A6" s="4"/>
      <c r="B6" s="116" t="str">
        <f>Dados!C6</f>
        <v>Aluno(a)</v>
      </c>
      <c r="C6" s="117"/>
      <c r="D6" s="117"/>
      <c r="E6" s="118"/>
      <c r="F6" s="116" t="s">
        <v>2</v>
      </c>
      <c r="G6" s="117"/>
      <c r="H6" s="12"/>
      <c r="I6" s="12"/>
      <c r="J6" s="12"/>
      <c r="K6" s="13"/>
      <c r="L6" s="18"/>
      <c r="M6" s="16"/>
      <c r="N6" s="16"/>
      <c r="O6" s="16"/>
      <c r="P6" s="16"/>
      <c r="Q6" s="16"/>
      <c r="R6" s="16"/>
      <c r="S6" s="83">
        <f>ROUND(S7*4.2/2.03,2)</f>
        <v>7.24</v>
      </c>
      <c r="T6" s="16"/>
      <c r="U6" s="16"/>
      <c r="V6" s="16"/>
      <c r="W6" s="38"/>
      <c r="X6" s="38"/>
      <c r="Y6" s="16"/>
      <c r="Z6" s="16"/>
    </row>
    <row r="7" spans="1:26" ht="14.25" customHeight="1" x14ac:dyDescent="0.25">
      <c r="A7" s="4"/>
      <c r="B7" s="116" t="str">
        <f>Dados!C7</f>
        <v>Alex Hideki Horie</v>
      </c>
      <c r="C7" s="117"/>
      <c r="D7" s="117"/>
      <c r="E7" s="118"/>
      <c r="F7" s="148">
        <f>Dados!G7</f>
        <v>124337</v>
      </c>
      <c r="G7" s="118"/>
      <c r="H7" s="14"/>
      <c r="I7" s="14"/>
      <c r="J7" s="14"/>
      <c r="K7" s="15"/>
      <c r="L7" s="16"/>
      <c r="M7" s="16"/>
      <c r="N7" s="16"/>
      <c r="O7" s="16"/>
      <c r="P7" s="16">
        <f>P1+P2</f>
        <v>3</v>
      </c>
      <c r="Q7" s="16"/>
      <c r="R7" s="16"/>
      <c r="S7" s="83">
        <f>ROUND(SUM(N1:R2)/10,2)</f>
        <v>3.5</v>
      </c>
      <c r="T7" s="16"/>
      <c r="U7" s="16"/>
      <c r="V7" s="16"/>
      <c r="W7" s="38"/>
      <c r="X7" s="38"/>
      <c r="Y7" s="16"/>
      <c r="Z7" s="16"/>
    </row>
    <row r="8" spans="1:26" ht="14.25" customHeight="1" x14ac:dyDescent="0.25">
      <c r="A8" s="4"/>
      <c r="B8" s="119"/>
      <c r="C8" s="120"/>
      <c r="D8" s="120"/>
      <c r="E8" s="120"/>
      <c r="F8" s="109">
        <f>Dados!I6</f>
        <v>123056</v>
      </c>
      <c r="G8" s="149"/>
      <c r="H8" s="12"/>
      <c r="I8" s="12"/>
      <c r="J8" s="12"/>
      <c r="K8" s="13"/>
      <c r="L8" s="16"/>
      <c r="M8" s="16"/>
      <c r="N8" s="16"/>
      <c r="O8" s="16"/>
      <c r="P8" s="16" t="str">
        <f>IF(F7="","???",IF(R1&lt;=1,"BUSCA TABU",IF(R1&lt;=3,"RECOZIMENTO SIMULADO",IF(R1&lt;=5,"ENXAME DE PARTÍCULAS",IF(R1&lt;=7,"COLÔNIA DE FORMIGAS","ALGORITMO GENÉTICO")))))</f>
        <v>COLÔNIA DE FORMIGAS</v>
      </c>
      <c r="Q8" s="16"/>
      <c r="R8" s="16"/>
      <c r="S8" s="16"/>
      <c r="T8" s="16"/>
      <c r="U8" s="16"/>
      <c r="V8" s="16"/>
      <c r="W8" s="38"/>
      <c r="X8" s="38"/>
      <c r="Y8" s="16"/>
      <c r="Z8" s="16"/>
    </row>
    <row r="9" spans="1:26" ht="14.25" customHeight="1" x14ac:dyDescent="0.25">
      <c r="A9" s="4"/>
      <c r="B9" s="14"/>
      <c r="C9" s="14"/>
      <c r="D9" s="14"/>
      <c r="E9" s="14"/>
      <c r="F9" s="14"/>
      <c r="G9" s="14"/>
      <c r="H9" s="14"/>
      <c r="I9" s="14"/>
      <c r="J9" s="14"/>
      <c r="K9" s="15"/>
      <c r="L9" s="16"/>
      <c r="M9" s="16"/>
      <c r="N9" s="16"/>
      <c r="O9" s="16"/>
      <c r="P9" s="16" t="s">
        <v>35</v>
      </c>
      <c r="Q9" s="16"/>
      <c r="R9" s="16"/>
      <c r="S9" s="16"/>
      <c r="T9" s="16"/>
      <c r="U9" s="16"/>
      <c r="V9" s="16"/>
      <c r="W9" s="38"/>
      <c r="X9" s="38"/>
      <c r="Y9" s="16"/>
      <c r="Z9" s="16"/>
    </row>
    <row r="10" spans="1:26" ht="14.25" customHeight="1" x14ac:dyDescent="0.25">
      <c r="A10" s="4"/>
      <c r="B10" s="122" t="s">
        <v>3</v>
      </c>
      <c r="C10" s="122"/>
      <c r="D10" s="122"/>
      <c r="E10" s="122"/>
      <c r="F10" s="122"/>
      <c r="G10" s="122"/>
      <c r="H10" s="122"/>
      <c r="I10" s="122"/>
      <c r="J10" s="122"/>
      <c r="K10" s="15"/>
      <c r="L10" s="16"/>
      <c r="M10" s="16"/>
      <c r="N10" s="16"/>
      <c r="O10" s="16"/>
      <c r="P10" s="16" t="str">
        <f>CONCATENATE(P9, " ",P8,".")</f>
        <v>Determine quanto deve o sitiante plantar de cada produto de modo a maximizar a receita. Para esse cálculo utilize o método heurístico  COLÔNIA DE FORMIGAS.</v>
      </c>
      <c r="Q10" s="16"/>
      <c r="R10" s="16"/>
      <c r="S10" s="16"/>
      <c r="T10" s="16"/>
      <c r="U10" s="16"/>
      <c r="V10" s="16"/>
      <c r="W10" s="38"/>
      <c r="X10" s="38"/>
      <c r="Y10" s="16"/>
      <c r="Z10" s="16"/>
    </row>
    <row r="11" spans="1:26" ht="14.25" customHeight="1" x14ac:dyDescent="0.25">
      <c r="A11" s="4"/>
      <c r="B11" s="14"/>
      <c r="C11" s="14"/>
      <c r="D11" s="14"/>
      <c r="E11" s="14"/>
      <c r="F11" s="14"/>
      <c r="G11" s="14"/>
      <c r="H11" s="14"/>
      <c r="I11" s="14"/>
      <c r="J11" s="14"/>
      <c r="K11" s="15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38"/>
      <c r="X11" s="38"/>
      <c r="Y11" s="16"/>
      <c r="Z11" s="16"/>
    </row>
    <row r="12" spans="1:26" ht="21" customHeight="1" x14ac:dyDescent="0.25">
      <c r="A12" s="4"/>
      <c r="B12" s="143" t="s">
        <v>55</v>
      </c>
      <c r="C12" s="143"/>
      <c r="D12" s="143"/>
      <c r="E12" s="143"/>
      <c r="F12" s="143"/>
      <c r="G12" s="143"/>
      <c r="H12" s="143"/>
      <c r="I12" s="143"/>
      <c r="J12" s="143"/>
      <c r="K12" s="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38"/>
      <c r="X12" s="38"/>
      <c r="Y12" s="16"/>
      <c r="Z12" s="16"/>
    </row>
    <row r="13" spans="1:26" ht="42.75" customHeight="1" x14ac:dyDescent="0.25">
      <c r="A13" s="4"/>
      <c r="B13" s="143"/>
      <c r="C13" s="143"/>
      <c r="D13" s="143"/>
      <c r="E13" s="143"/>
      <c r="F13" s="143"/>
      <c r="G13" s="143"/>
      <c r="H13" s="143"/>
      <c r="I13" s="143"/>
      <c r="J13" s="143"/>
      <c r="K13" s="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38"/>
      <c r="X13" s="38"/>
      <c r="Y13" s="16"/>
      <c r="Z13" s="16"/>
    </row>
    <row r="14" spans="1:26" ht="25.5" customHeight="1" x14ac:dyDescent="0.25">
      <c r="A14" s="4"/>
      <c r="B14" s="150"/>
      <c r="C14" s="150"/>
      <c r="D14" s="150"/>
      <c r="E14" s="150"/>
      <c r="F14" s="150"/>
      <c r="G14" s="150"/>
      <c r="H14" s="150"/>
      <c r="I14" s="150"/>
      <c r="J14" s="150"/>
      <c r="K14" s="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38"/>
      <c r="X14" s="38"/>
      <c r="Y14" s="38"/>
    </row>
    <row r="15" spans="1:26" ht="15.75" customHeight="1" x14ac:dyDescent="0.25">
      <c r="A15" s="4"/>
      <c r="B15" s="146" t="s">
        <v>26</v>
      </c>
      <c r="C15" s="153" t="s">
        <v>33</v>
      </c>
      <c r="D15" s="154"/>
      <c r="E15" s="154"/>
      <c r="F15" s="155"/>
      <c r="G15" s="146" t="s">
        <v>29</v>
      </c>
      <c r="H15" s="146"/>
      <c r="I15" s="146"/>
      <c r="J15" s="146"/>
      <c r="K15" s="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38"/>
      <c r="X15" s="38"/>
      <c r="Y15" s="38"/>
    </row>
    <row r="16" spans="1:26" ht="15.75" customHeight="1" x14ac:dyDescent="0.25">
      <c r="A16" s="4"/>
      <c r="B16" s="147"/>
      <c r="C16" s="134" t="s">
        <v>27</v>
      </c>
      <c r="D16" s="135"/>
      <c r="E16" s="135"/>
      <c r="F16" s="136"/>
      <c r="G16" s="147" t="s">
        <v>28</v>
      </c>
      <c r="H16" s="147"/>
      <c r="I16" s="147"/>
      <c r="J16" s="147"/>
      <c r="K16" s="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38"/>
      <c r="X16" s="38"/>
      <c r="Y16" s="38"/>
    </row>
    <row r="17" spans="1:25" ht="15.75" x14ac:dyDescent="0.25">
      <c r="A17" s="4"/>
      <c r="B17" s="79" t="s">
        <v>30</v>
      </c>
      <c r="C17" s="144">
        <f>R5</f>
        <v>0.4</v>
      </c>
      <c r="D17" s="144"/>
      <c r="E17" s="144"/>
      <c r="F17" s="144"/>
      <c r="G17" s="140" t="str">
        <f>_xlfn.CONCAT(S5," centavos")</f>
        <v>18,62 centavos</v>
      </c>
      <c r="H17" s="141"/>
      <c r="I17" s="141"/>
      <c r="J17" s="142"/>
      <c r="K17" s="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38"/>
      <c r="X17" s="38"/>
      <c r="Y17" s="38"/>
    </row>
    <row r="18" spans="1:25" ht="15.75" customHeight="1" x14ac:dyDescent="0.25">
      <c r="A18" s="4"/>
      <c r="B18" s="79" t="s">
        <v>31</v>
      </c>
      <c r="C18" s="144">
        <f>ROUND(1.5*C17,1)</f>
        <v>0.6</v>
      </c>
      <c r="D18" s="144"/>
      <c r="E18" s="144"/>
      <c r="F18" s="144"/>
      <c r="G18" s="140" t="str">
        <f>_xlfn.CONCAT(S6," centavos")</f>
        <v>7,24 centavos</v>
      </c>
      <c r="H18" s="141"/>
      <c r="I18" s="141"/>
      <c r="J18" s="142"/>
      <c r="K18" s="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38"/>
      <c r="X18" s="38"/>
      <c r="Y18" s="38"/>
    </row>
    <row r="19" spans="1:25" ht="14.25" customHeight="1" x14ac:dyDescent="0.25">
      <c r="A19" s="4"/>
      <c r="B19" s="80" t="s">
        <v>32</v>
      </c>
      <c r="C19" s="137">
        <f>ROUND(2*C17,1)</f>
        <v>0.8</v>
      </c>
      <c r="D19" s="138"/>
      <c r="E19" s="138"/>
      <c r="F19" s="139"/>
      <c r="G19" s="140" t="str">
        <f t="shared" ref="G19" si="0">_xlfn.CONCAT(S7," centavos")</f>
        <v>3,5 centavos</v>
      </c>
      <c r="H19" s="141"/>
      <c r="I19" s="141"/>
      <c r="J19" s="142"/>
      <c r="K19" s="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38"/>
      <c r="X19" s="38"/>
      <c r="Y19" s="38"/>
    </row>
    <row r="20" spans="1:25" ht="14.25" customHeight="1" x14ac:dyDescent="0.25">
      <c r="A20" s="4"/>
      <c r="B20" s="78"/>
      <c r="C20" s="82"/>
      <c r="D20" s="82"/>
      <c r="E20" s="82"/>
      <c r="F20" s="82"/>
      <c r="G20" s="82"/>
      <c r="H20" s="82"/>
      <c r="I20" s="82"/>
      <c r="J20" s="82"/>
      <c r="K20" s="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38"/>
      <c r="X20" s="38"/>
      <c r="Y20" s="38"/>
    </row>
    <row r="21" spans="1:25" ht="61.5" customHeight="1" x14ac:dyDescent="0.25">
      <c r="A21" s="4"/>
      <c r="B21" s="143" t="s">
        <v>34</v>
      </c>
      <c r="C21" s="143"/>
      <c r="D21" s="143"/>
      <c r="E21" s="143"/>
      <c r="F21" s="143"/>
      <c r="G21" s="143"/>
      <c r="H21" s="143"/>
      <c r="I21" s="143"/>
      <c r="J21" s="143"/>
      <c r="K21" s="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38"/>
      <c r="X21" s="38"/>
      <c r="Y21" s="38"/>
    </row>
    <row r="22" spans="1:25" ht="15.75" x14ac:dyDescent="0.25">
      <c r="A22" s="4"/>
      <c r="B22" s="40"/>
      <c r="C22" s="81"/>
      <c r="D22" s="81"/>
      <c r="E22" s="81"/>
      <c r="F22" s="81"/>
      <c r="G22" s="81"/>
      <c r="H22" s="81"/>
      <c r="I22" s="81"/>
      <c r="J22" s="81"/>
      <c r="K22" s="6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</row>
    <row r="23" spans="1:25" ht="32.450000000000003" customHeight="1" x14ac:dyDescent="0.25">
      <c r="A23" s="4"/>
      <c r="B23" s="143" t="str">
        <f>P10</f>
        <v>Determine quanto deve o sitiante plantar de cada produto de modo a maximizar a receita. Para esse cálculo utilize o método heurístico  COLÔNIA DE FORMIGAS.</v>
      </c>
      <c r="C23" s="151"/>
      <c r="D23" s="151"/>
      <c r="E23" s="151"/>
      <c r="F23" s="151"/>
      <c r="G23" s="151"/>
      <c r="H23" s="151"/>
      <c r="I23" s="151"/>
      <c r="J23" s="151"/>
      <c r="K23" s="6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</row>
    <row r="24" spans="1:25" ht="14.25" customHeight="1" x14ac:dyDescent="0.25">
      <c r="A24" s="4"/>
      <c r="B24" s="10"/>
      <c r="C24" s="8"/>
      <c r="D24" s="8"/>
      <c r="E24" s="8"/>
      <c r="F24" s="8"/>
      <c r="G24" s="8"/>
      <c r="H24" s="8"/>
      <c r="I24" s="8"/>
      <c r="J24" s="8"/>
      <c r="K24" s="6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</row>
    <row r="25" spans="1:25" ht="47.25" customHeight="1" x14ac:dyDescent="0.25">
      <c r="A25" s="4"/>
      <c r="B25" s="145" t="s">
        <v>56</v>
      </c>
      <c r="C25" s="152"/>
      <c r="D25" s="152"/>
      <c r="E25" s="152"/>
      <c r="F25" s="152"/>
      <c r="G25" s="152"/>
      <c r="H25" s="152"/>
      <c r="I25" s="152"/>
      <c r="J25" s="152"/>
      <c r="K25" s="6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</row>
    <row r="26" spans="1:25" ht="15.75" customHeight="1" x14ac:dyDescent="0.25">
      <c r="A26" s="4"/>
      <c r="B26" s="145" t="s">
        <v>57</v>
      </c>
      <c r="C26" s="145"/>
      <c r="D26" s="145"/>
      <c r="E26" s="145"/>
      <c r="F26" s="145"/>
      <c r="G26" s="145"/>
      <c r="H26" s="145"/>
      <c r="I26" s="145"/>
      <c r="J26" s="145"/>
      <c r="K26" s="6"/>
    </row>
    <row r="27" spans="1:25" ht="14.25" customHeight="1" x14ac:dyDescent="0.25">
      <c r="A27" s="4"/>
      <c r="B27" s="145"/>
      <c r="C27" s="145"/>
      <c r="D27" s="145"/>
      <c r="E27" s="145"/>
      <c r="F27" s="145"/>
      <c r="G27" s="145"/>
      <c r="H27" s="145"/>
      <c r="I27" s="145"/>
      <c r="J27" s="145"/>
      <c r="K27" s="41"/>
    </row>
    <row r="28" spans="1:25" ht="14.25" customHeight="1" thickBot="1" x14ac:dyDescent="0.3">
      <c r="A28" s="9"/>
      <c r="B28" s="11"/>
      <c r="C28" s="11"/>
      <c r="D28" s="11"/>
      <c r="E28" s="11"/>
      <c r="F28" s="11"/>
      <c r="G28" s="11"/>
      <c r="H28" s="11"/>
      <c r="I28" s="11"/>
      <c r="J28" s="11"/>
      <c r="K28" s="42"/>
    </row>
    <row r="29" spans="1:25" ht="14.25" customHeight="1" x14ac:dyDescent="0.25"/>
    <row r="30" spans="1:25" ht="14.25" customHeight="1" x14ac:dyDescent="0.25">
      <c r="O30" s="108"/>
      <c r="P30" s="123"/>
      <c r="Q30" s="123"/>
      <c r="R30" s="123"/>
      <c r="S30" s="123"/>
      <c r="T30" s="123"/>
    </row>
    <row r="31" spans="1:25" ht="14.25" customHeight="1" x14ac:dyDescent="0.25"/>
    <row r="32" spans="1:25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</sheetData>
  <mergeCells count="24">
    <mergeCell ref="O30:T30"/>
    <mergeCell ref="B26:J27"/>
    <mergeCell ref="B15:B16"/>
    <mergeCell ref="B6:E6"/>
    <mergeCell ref="F6:G6"/>
    <mergeCell ref="B7:E7"/>
    <mergeCell ref="F7:G7"/>
    <mergeCell ref="B8:E8"/>
    <mergeCell ref="F8:G8"/>
    <mergeCell ref="B10:J10"/>
    <mergeCell ref="B12:J14"/>
    <mergeCell ref="B23:J23"/>
    <mergeCell ref="B25:J25"/>
    <mergeCell ref="C15:F15"/>
    <mergeCell ref="G15:J15"/>
    <mergeCell ref="G16:J16"/>
    <mergeCell ref="C16:F16"/>
    <mergeCell ref="C19:F19"/>
    <mergeCell ref="G18:J18"/>
    <mergeCell ref="G19:J19"/>
    <mergeCell ref="B21:J21"/>
    <mergeCell ref="C17:F17"/>
    <mergeCell ref="C18:F18"/>
    <mergeCell ref="G17:J17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E6BBD-E149-4DC8-A7B2-38EF6BE7581B}">
  <sheetPr codeName="Planilha6"/>
  <dimension ref="A1:Z95"/>
  <sheetViews>
    <sheetView workbookViewId="0">
      <selection activeCell="E34" sqref="E34"/>
    </sheetView>
  </sheetViews>
  <sheetFormatPr defaultColWidth="14.42578125" defaultRowHeight="15" x14ac:dyDescent="0.25"/>
  <cols>
    <col min="1" max="1" width="4.140625" customWidth="1"/>
    <col min="2" max="2" width="18.5703125" customWidth="1"/>
    <col min="3" max="4" width="15.85546875" bestFit="1" customWidth="1"/>
    <col min="5" max="5" width="12" customWidth="1"/>
    <col min="6" max="6" width="12.140625" customWidth="1"/>
    <col min="7" max="7" width="9.5703125" customWidth="1"/>
    <col min="8" max="8" width="8.7109375" customWidth="1"/>
    <col min="9" max="9" width="9.42578125" customWidth="1"/>
    <col min="10" max="10" width="6.140625" customWidth="1"/>
    <col min="11" max="14" width="8.7109375" customWidth="1"/>
  </cols>
  <sheetData>
    <row r="1" spans="1:26" ht="15" customHeight="1" x14ac:dyDescent="0.25">
      <c r="A1" s="1"/>
      <c r="B1" s="2"/>
      <c r="C1" s="2"/>
      <c r="D1" s="2"/>
      <c r="E1" s="2"/>
      <c r="F1" s="2"/>
      <c r="G1" s="2"/>
      <c r="H1" s="2"/>
      <c r="I1" s="2"/>
      <c r="J1" s="3"/>
      <c r="L1" s="17">
        <f>INT(F7/100000)</f>
        <v>1</v>
      </c>
      <c r="M1" s="17">
        <f>INT(F7/10000)-L1*10</f>
        <v>2</v>
      </c>
      <c r="N1" s="17">
        <f>INT(F7/1000)-L1*100-M1*10</f>
        <v>4</v>
      </c>
      <c r="O1" s="17">
        <f>(INT(F7/100)-L1*1000-M1*100-N1*10)</f>
        <v>3</v>
      </c>
      <c r="P1" s="17">
        <f>INT(F7/10)-L1*10000-M1*1000-N1*100-O1*10</f>
        <v>3</v>
      </c>
      <c r="Q1" s="18">
        <f>F7-L1*100000-M1*10000-N1*1000-O1*100-P1*10</f>
        <v>7</v>
      </c>
      <c r="R1" s="16"/>
      <c r="S1" s="16"/>
      <c r="T1" s="16"/>
      <c r="U1" s="38"/>
      <c r="V1" s="16"/>
      <c r="W1" s="16"/>
      <c r="X1" s="16"/>
      <c r="Y1" s="16"/>
      <c r="Z1" s="38"/>
    </row>
    <row r="2" spans="1:26" ht="14.25" customHeight="1" x14ac:dyDescent="0.25">
      <c r="A2" s="4"/>
      <c r="B2" s="5" t="s">
        <v>0</v>
      </c>
      <c r="C2" s="10"/>
      <c r="D2" s="10"/>
      <c r="E2" s="10"/>
      <c r="F2" s="10"/>
      <c r="G2" s="10"/>
      <c r="H2" s="10"/>
      <c r="I2" s="10"/>
      <c r="J2" s="6"/>
      <c r="L2" s="17">
        <f>INT(F8/100000)</f>
        <v>1</v>
      </c>
      <c r="M2" s="17">
        <f>INT(F8/10000)-L2*10</f>
        <v>2</v>
      </c>
      <c r="N2" s="17">
        <f>INT(F8/1000)-L2*100-M2*10</f>
        <v>3</v>
      </c>
      <c r="O2" s="17">
        <f>INT(F8/100)-L2*1000-M2*100-N2*10</f>
        <v>0</v>
      </c>
      <c r="P2" s="17">
        <f>INT(F8/10)-L2*10000-M2*1000-N2*100-O2*10</f>
        <v>5</v>
      </c>
      <c r="Q2" s="18">
        <f>F8-L2*100000-M2*10000-N2*1000-O2*100-P2*10</f>
        <v>6</v>
      </c>
      <c r="R2" s="16"/>
      <c r="S2" s="16"/>
      <c r="T2" s="16"/>
      <c r="U2" s="38"/>
      <c r="V2" s="16"/>
      <c r="W2" s="16"/>
      <c r="X2" s="16"/>
      <c r="Y2" s="16"/>
      <c r="Z2" s="38"/>
    </row>
    <row r="3" spans="1:26" ht="20.25" x14ac:dyDescent="0.25">
      <c r="A3" s="4"/>
      <c r="B3" s="5" t="s">
        <v>1</v>
      </c>
      <c r="C3" s="10"/>
      <c r="D3" s="10"/>
      <c r="E3" s="10"/>
      <c r="F3" s="10"/>
      <c r="G3" s="10"/>
      <c r="H3" s="10"/>
      <c r="I3" s="10"/>
      <c r="J3" s="6"/>
      <c r="L3" s="16"/>
      <c r="M3" s="16"/>
      <c r="N3" s="16"/>
      <c r="O3" s="36"/>
      <c r="P3" s="36"/>
      <c r="Q3" s="16"/>
      <c r="R3" s="16"/>
      <c r="S3" s="16">
        <f>ROUND(SUM(M1:Q1)/5*10,0)*10</f>
        <v>380</v>
      </c>
      <c r="T3" s="16">
        <f>ROUND(SUM(O1:Q1)/5*10,0)*10</f>
        <v>260</v>
      </c>
      <c r="U3" s="38"/>
      <c r="V3" s="16"/>
      <c r="W3" s="16"/>
      <c r="X3" s="16"/>
      <c r="Y3" s="16"/>
      <c r="Z3" s="38"/>
    </row>
    <row r="4" spans="1:26" ht="14.25" customHeight="1" x14ac:dyDescent="0.25">
      <c r="A4" s="4"/>
      <c r="B4" s="5" t="str">
        <f>Dados!C4</f>
        <v>Prof. Gilberto C Antonelli e Profª Camila C C dos Reis</v>
      </c>
      <c r="C4" s="10"/>
      <c r="D4" s="10"/>
      <c r="E4" s="10"/>
      <c r="F4" s="10"/>
      <c r="G4" s="10"/>
      <c r="H4" s="10"/>
      <c r="I4" s="10"/>
      <c r="J4" s="6"/>
      <c r="L4" s="16"/>
      <c r="M4" s="16"/>
      <c r="N4" s="16"/>
      <c r="O4" s="16"/>
      <c r="P4" s="16"/>
      <c r="Q4" s="16"/>
      <c r="R4" s="16"/>
      <c r="S4" s="16">
        <f>ROUND(S3*650/480,0)</f>
        <v>515</v>
      </c>
      <c r="T4" s="16">
        <f>ROUND(T3*380/310,0)</f>
        <v>319</v>
      </c>
      <c r="U4" s="38"/>
      <c r="V4" s="16"/>
      <c r="W4" s="16"/>
      <c r="X4" s="16"/>
      <c r="Y4" s="16"/>
      <c r="Z4" s="38"/>
    </row>
    <row r="5" spans="1:26" ht="14.25" customHeight="1" x14ac:dyDescent="0.25">
      <c r="A5" s="4"/>
      <c r="B5" s="37"/>
      <c r="C5" s="14"/>
      <c r="D5" s="14"/>
      <c r="E5" s="14"/>
      <c r="F5" s="14"/>
      <c r="G5" s="14"/>
      <c r="H5" s="14"/>
      <c r="I5" s="14"/>
      <c r="J5" s="15"/>
      <c r="K5" s="38"/>
      <c r="L5" s="16"/>
      <c r="M5" s="16"/>
      <c r="N5" s="16"/>
      <c r="O5" s="16"/>
      <c r="P5" s="16">
        <f>SUM(O1:P2)</f>
        <v>11</v>
      </c>
      <c r="Q5" s="16">
        <f>ROUND(P5*23/18,0)</f>
        <v>14</v>
      </c>
      <c r="R5" s="16"/>
      <c r="S5" s="16">
        <f>ROUND(S3*580/480,0)</f>
        <v>459</v>
      </c>
      <c r="T5" s="16">
        <f>ROUND(T3*350/310,0)</f>
        <v>294</v>
      </c>
      <c r="U5" s="38"/>
      <c r="V5" s="16"/>
      <c r="W5" s="16"/>
      <c r="X5" s="16"/>
      <c r="Y5" s="16"/>
      <c r="Z5" s="38"/>
    </row>
    <row r="6" spans="1:26" ht="14.25" customHeight="1" x14ac:dyDescent="0.25">
      <c r="A6" s="4"/>
      <c r="B6" s="116" t="str">
        <f>Dados!C6</f>
        <v>Aluno(a)</v>
      </c>
      <c r="C6" s="117"/>
      <c r="D6" s="117"/>
      <c r="E6" s="117"/>
      <c r="F6" s="157" t="s">
        <v>2</v>
      </c>
      <c r="G6" s="158"/>
      <c r="H6" s="12"/>
      <c r="I6" s="12"/>
      <c r="J6" s="13"/>
      <c r="K6" s="39"/>
      <c r="L6" s="16"/>
      <c r="M6" s="16"/>
      <c r="N6" s="16"/>
      <c r="O6" s="16"/>
      <c r="P6" s="16">
        <f>ROUND(P5*15/18,0)</f>
        <v>9</v>
      </c>
      <c r="Q6" s="16">
        <f>ROUND(P5*12/18,0)</f>
        <v>7</v>
      </c>
      <c r="R6" s="16"/>
      <c r="S6" s="16">
        <f>ROUND(S3*390/480,0)</f>
        <v>309</v>
      </c>
      <c r="T6" s="16">
        <f>ROUND(T3*285/310,0)</f>
        <v>239</v>
      </c>
      <c r="U6" s="38"/>
      <c r="V6" s="16"/>
      <c r="W6" s="16"/>
      <c r="X6" s="16"/>
      <c r="Y6" s="16"/>
      <c r="Z6" s="38"/>
    </row>
    <row r="7" spans="1:26" ht="14.25" customHeight="1" x14ac:dyDescent="0.25">
      <c r="A7" s="4"/>
      <c r="B7" s="116" t="str">
        <f>Dados!C7</f>
        <v>Alex Hideki Horie</v>
      </c>
      <c r="C7" s="117"/>
      <c r="D7" s="117"/>
      <c r="E7" s="118"/>
      <c r="F7" s="110">
        <f>Dados!G7</f>
        <v>124337</v>
      </c>
      <c r="G7" s="159"/>
      <c r="H7" s="14"/>
      <c r="I7" s="14"/>
      <c r="J7" s="15"/>
      <c r="L7" s="16"/>
      <c r="M7" s="16"/>
      <c r="N7" s="16"/>
      <c r="O7" s="16">
        <f>O1+O2</f>
        <v>3</v>
      </c>
      <c r="P7" s="16"/>
      <c r="Q7" s="16"/>
      <c r="R7" s="16"/>
      <c r="S7" s="16"/>
      <c r="T7" s="16"/>
      <c r="U7" s="38"/>
      <c r="V7" s="16"/>
      <c r="W7" s="16"/>
      <c r="X7" s="16"/>
      <c r="Y7" s="16"/>
      <c r="Z7" s="38"/>
    </row>
    <row r="8" spans="1:26" ht="14.25" customHeight="1" x14ac:dyDescent="0.25">
      <c r="A8" s="4"/>
      <c r="B8" s="119"/>
      <c r="C8" s="120"/>
      <c r="D8" s="120"/>
      <c r="E8" s="120"/>
      <c r="F8" s="109">
        <f>Dados!I6</f>
        <v>123056</v>
      </c>
      <c r="G8" s="149"/>
      <c r="H8" s="12"/>
      <c r="I8" s="12"/>
      <c r="J8" s="13"/>
      <c r="L8" s="16"/>
      <c r="M8" s="16"/>
      <c r="N8" s="16"/>
      <c r="O8" s="16" t="str">
        <f>IF(F7="","???",IF(Q1&lt;=1,"BUSCA TABU",IF(Q1&lt;=3,"RECOZIMENTO SIMULADO",IF(Q1&lt;=5,"ENXAME DE PARTÍCULAS",IF(Q1&lt;=7,"COLÔNIA DE FORMIGAS","ALGORITMO GENÉTICO")))))</f>
        <v>COLÔNIA DE FORMIGAS</v>
      </c>
      <c r="P8" s="16"/>
      <c r="Q8" s="16"/>
      <c r="R8" s="16"/>
      <c r="S8" s="16"/>
      <c r="T8" s="16"/>
      <c r="U8" s="38"/>
      <c r="V8" s="16"/>
      <c r="W8" s="16"/>
      <c r="X8" s="16"/>
      <c r="Y8" s="16"/>
      <c r="Z8" s="38"/>
    </row>
    <row r="9" spans="1:26" ht="14.25" customHeight="1" x14ac:dyDescent="0.25">
      <c r="A9" s="4"/>
      <c r="B9" s="14"/>
      <c r="C9" s="14"/>
      <c r="D9" s="14"/>
      <c r="E9" s="14"/>
      <c r="F9" s="14"/>
      <c r="G9" s="14"/>
      <c r="H9" s="14"/>
      <c r="I9" s="14"/>
      <c r="J9" s="15"/>
      <c r="K9" s="38"/>
      <c r="L9" s="16"/>
      <c r="M9" s="16"/>
      <c r="N9" s="16"/>
      <c r="O9" s="16" t="s">
        <v>47</v>
      </c>
      <c r="P9" s="16"/>
      <c r="Q9" s="16"/>
      <c r="R9" s="16"/>
      <c r="S9" s="16"/>
      <c r="T9" s="16"/>
      <c r="U9" s="38"/>
      <c r="V9" s="16"/>
      <c r="W9" s="16"/>
      <c r="X9" s="16"/>
      <c r="Y9" s="16"/>
      <c r="Z9" s="38"/>
    </row>
    <row r="10" spans="1:26" ht="14.25" customHeight="1" x14ac:dyDescent="0.25">
      <c r="A10" s="4"/>
      <c r="B10" s="122" t="s">
        <v>3</v>
      </c>
      <c r="C10" s="122"/>
      <c r="D10" s="122"/>
      <c r="E10" s="122"/>
      <c r="F10" s="122"/>
      <c r="G10" s="122"/>
      <c r="H10" s="122"/>
      <c r="I10" s="122"/>
      <c r="J10" s="15"/>
      <c r="K10" s="38"/>
      <c r="L10" s="16"/>
      <c r="M10" s="16"/>
      <c r="N10" s="16"/>
      <c r="O10" s="16" t="str">
        <f>CONCATENATE(O9, " ",O8,".")</f>
        <v>Determine a quantidade de cada carga que deve ser transportada de forma a maximizar o lucro. Para esse cálculo utilize o método heurístico  COLÔNIA DE FORMIGAS.</v>
      </c>
      <c r="P10" s="16"/>
      <c r="Q10" s="16"/>
      <c r="R10" s="16"/>
      <c r="S10" s="16"/>
      <c r="T10" s="16"/>
      <c r="U10" s="38"/>
      <c r="V10" s="16"/>
      <c r="W10" s="16"/>
      <c r="X10" s="16"/>
      <c r="Y10" s="16"/>
      <c r="Z10" s="38"/>
    </row>
    <row r="11" spans="1:26" ht="14.25" customHeight="1" x14ac:dyDescent="0.25">
      <c r="A11" s="4"/>
      <c r="B11" s="14"/>
      <c r="C11" s="14"/>
      <c r="D11" s="14"/>
      <c r="E11" s="14"/>
      <c r="F11" s="14"/>
      <c r="G11" s="14"/>
      <c r="H11" s="14"/>
      <c r="I11" s="14"/>
      <c r="J11" s="15"/>
      <c r="K11" s="38"/>
      <c r="L11" s="16"/>
      <c r="M11" s="16"/>
      <c r="N11" s="16"/>
      <c r="O11" s="16"/>
      <c r="P11" s="16"/>
      <c r="Q11" s="16"/>
      <c r="R11" s="16"/>
      <c r="S11" s="16"/>
      <c r="T11" s="16"/>
      <c r="U11" s="38"/>
      <c r="V11" s="16"/>
      <c r="W11" s="16"/>
      <c r="X11" s="16"/>
      <c r="Y11" s="16"/>
      <c r="Z11" s="38"/>
    </row>
    <row r="12" spans="1:26" ht="47.25" customHeight="1" x14ac:dyDescent="0.25">
      <c r="A12" s="4"/>
      <c r="B12" s="143" t="s">
        <v>49</v>
      </c>
      <c r="C12" s="151"/>
      <c r="D12" s="151"/>
      <c r="E12" s="151"/>
      <c r="F12" s="151"/>
      <c r="G12" s="151"/>
      <c r="H12" s="151"/>
      <c r="I12" s="151"/>
      <c r="J12" s="6"/>
      <c r="L12" s="16"/>
      <c r="M12" s="16"/>
      <c r="N12" s="16"/>
      <c r="O12" s="16"/>
      <c r="P12" s="16"/>
      <c r="Q12" s="16"/>
      <c r="R12" s="16"/>
      <c r="S12" s="16"/>
      <c r="T12" s="16"/>
      <c r="U12" s="38"/>
      <c r="V12" s="16"/>
      <c r="W12" s="16"/>
      <c r="X12" s="16"/>
      <c r="Y12" s="16"/>
      <c r="Z12" s="38"/>
    </row>
    <row r="13" spans="1:26" ht="99.75" hidden="1" customHeight="1" x14ac:dyDescent="0.25">
      <c r="A13" s="4"/>
      <c r="B13" s="143"/>
      <c r="C13" s="151"/>
      <c r="D13" s="151"/>
      <c r="E13" s="151"/>
      <c r="F13" s="151"/>
      <c r="G13" s="151"/>
      <c r="H13" s="151"/>
      <c r="I13" s="151"/>
      <c r="J13" s="6"/>
      <c r="L13" s="16"/>
      <c r="M13" s="16"/>
      <c r="N13" s="16"/>
      <c r="O13" s="16"/>
      <c r="P13" s="16"/>
      <c r="Q13" s="16"/>
      <c r="R13" s="16"/>
      <c r="S13" s="16"/>
      <c r="T13" s="16"/>
      <c r="U13" s="38"/>
      <c r="V13" s="38"/>
      <c r="W13" s="38"/>
      <c r="X13" s="38"/>
      <c r="Y13" s="38"/>
      <c r="Z13" s="38"/>
    </row>
    <row r="14" spans="1:26" ht="15.75" x14ac:dyDescent="0.25">
      <c r="A14" s="4"/>
      <c r="B14" s="145" t="s">
        <v>54</v>
      </c>
      <c r="C14" s="160"/>
      <c r="D14" s="160"/>
      <c r="E14" s="160"/>
      <c r="F14" s="160"/>
      <c r="G14" s="160"/>
      <c r="H14" s="160"/>
      <c r="I14" s="160"/>
      <c r="J14" s="6"/>
      <c r="L14" s="16"/>
      <c r="M14" s="16"/>
      <c r="N14" s="16"/>
      <c r="O14" s="16"/>
      <c r="P14" s="16"/>
      <c r="Q14" s="16"/>
      <c r="R14" s="16"/>
      <c r="S14" s="16"/>
      <c r="T14" s="16"/>
      <c r="U14" s="38"/>
      <c r="V14" s="38"/>
      <c r="W14" s="38"/>
      <c r="X14" s="38"/>
      <c r="Y14" s="38"/>
      <c r="Z14" s="38"/>
    </row>
    <row r="15" spans="1:26" ht="14.25" customHeight="1" x14ac:dyDescent="0.25">
      <c r="A15" s="4"/>
      <c r="B15" s="10"/>
      <c r="C15" s="10"/>
      <c r="D15" s="10"/>
      <c r="E15" s="10"/>
      <c r="F15" s="10"/>
      <c r="G15" s="10"/>
      <c r="H15" s="85"/>
      <c r="I15" s="85"/>
      <c r="J15" s="6"/>
      <c r="L15" s="16"/>
      <c r="M15" s="16"/>
      <c r="N15" s="16"/>
      <c r="O15" s="16"/>
      <c r="P15" s="16"/>
      <c r="Q15" s="16"/>
      <c r="R15" s="16"/>
      <c r="S15" s="16"/>
      <c r="T15" s="16"/>
      <c r="U15" s="38"/>
      <c r="V15" s="38"/>
      <c r="W15" s="38"/>
      <c r="X15" s="38"/>
      <c r="Y15" s="38"/>
      <c r="Z15" s="38"/>
    </row>
    <row r="16" spans="1:26" ht="14.25" customHeight="1" x14ac:dyDescent="0.25">
      <c r="A16" s="4"/>
      <c r="B16" s="10"/>
      <c r="C16" s="161"/>
      <c r="D16" s="88" t="s">
        <v>42</v>
      </c>
      <c r="E16" s="88" t="s">
        <v>40</v>
      </c>
      <c r="F16" s="88" t="s">
        <v>41</v>
      </c>
      <c r="G16" s="10"/>
      <c r="H16" s="85"/>
      <c r="I16" s="85"/>
      <c r="J16" s="6"/>
      <c r="L16" s="16"/>
      <c r="M16" s="16"/>
      <c r="N16" s="16"/>
      <c r="O16" s="16"/>
      <c r="P16" s="16"/>
      <c r="Q16" s="16"/>
      <c r="R16" s="16"/>
      <c r="S16" s="16"/>
      <c r="T16" s="16"/>
      <c r="U16" s="38"/>
      <c r="V16" s="38"/>
      <c r="W16" s="38"/>
      <c r="X16" s="38"/>
      <c r="Y16" s="38"/>
      <c r="Z16" s="38"/>
    </row>
    <row r="17" spans="1:26" ht="14.25" customHeight="1" x14ac:dyDescent="0.25">
      <c r="A17" s="4"/>
      <c r="B17" s="10"/>
      <c r="C17" s="162"/>
      <c r="D17" s="89" t="s">
        <v>45</v>
      </c>
      <c r="E17" s="89" t="s">
        <v>43</v>
      </c>
      <c r="F17" s="89" t="s">
        <v>44</v>
      </c>
      <c r="G17" s="10"/>
      <c r="H17" s="86"/>
      <c r="I17" s="86"/>
      <c r="J17" s="6"/>
      <c r="L17" s="16"/>
      <c r="M17" s="16"/>
      <c r="N17" s="16"/>
      <c r="O17" s="16"/>
      <c r="P17" s="16"/>
      <c r="Q17" s="16"/>
      <c r="R17" s="16"/>
      <c r="S17" s="16"/>
      <c r="T17" s="16"/>
      <c r="U17" s="38"/>
      <c r="V17" s="38"/>
      <c r="W17" s="38"/>
      <c r="X17" s="38"/>
      <c r="Y17" s="38"/>
      <c r="Z17" s="38"/>
    </row>
    <row r="18" spans="1:26" ht="14.25" customHeight="1" x14ac:dyDescent="0.25">
      <c r="A18" s="4"/>
      <c r="B18" s="10"/>
      <c r="C18" s="87" t="s">
        <v>36</v>
      </c>
      <c r="D18" s="87">
        <f>P5</f>
        <v>11</v>
      </c>
      <c r="E18" s="87">
        <f>S3</f>
        <v>380</v>
      </c>
      <c r="F18" s="87">
        <f>T3</f>
        <v>260</v>
      </c>
      <c r="G18" s="10"/>
      <c r="H18" s="86"/>
      <c r="I18" s="86"/>
      <c r="J18" s="6"/>
      <c r="L18" s="16"/>
      <c r="M18" s="16"/>
      <c r="N18" s="16"/>
      <c r="O18" s="16"/>
      <c r="P18" s="16"/>
      <c r="Q18" s="16"/>
      <c r="R18" s="16"/>
      <c r="S18" s="16"/>
      <c r="T18" s="16"/>
      <c r="U18" s="38"/>
      <c r="V18" s="38"/>
      <c r="W18" s="38"/>
      <c r="X18" s="38"/>
      <c r="Y18" s="38"/>
      <c r="Z18" s="38"/>
    </row>
    <row r="19" spans="1:26" ht="14.25" customHeight="1" x14ac:dyDescent="0.25">
      <c r="A19" s="4"/>
      <c r="B19" s="10"/>
      <c r="C19" s="87" t="s">
        <v>37</v>
      </c>
      <c r="D19" s="87">
        <f>P6</f>
        <v>9</v>
      </c>
      <c r="E19" s="87">
        <f t="shared" ref="E19:E21" si="0">S4</f>
        <v>515</v>
      </c>
      <c r="F19" s="87">
        <f t="shared" ref="F19:F21" si="1">T4</f>
        <v>319</v>
      </c>
      <c r="G19" s="10"/>
      <c r="H19" s="86"/>
      <c r="I19" s="86"/>
      <c r="J19" s="6"/>
      <c r="L19" s="16"/>
      <c r="M19" s="16"/>
      <c r="N19" s="16"/>
      <c r="O19" s="16"/>
      <c r="P19" s="16"/>
      <c r="Q19" s="16"/>
      <c r="R19" s="16"/>
      <c r="S19" s="16"/>
      <c r="T19" s="16"/>
      <c r="U19" s="38"/>
      <c r="V19" s="38"/>
      <c r="W19" s="38"/>
      <c r="X19" s="38"/>
      <c r="Y19" s="38"/>
      <c r="Z19" s="38"/>
    </row>
    <row r="20" spans="1:26" ht="14.25" customHeight="1" x14ac:dyDescent="0.25">
      <c r="A20" s="4"/>
      <c r="B20" s="10"/>
      <c r="C20" s="87" t="s">
        <v>38</v>
      </c>
      <c r="D20" s="87">
        <f>Q5</f>
        <v>14</v>
      </c>
      <c r="E20" s="87">
        <f t="shared" si="0"/>
        <v>459</v>
      </c>
      <c r="F20" s="87">
        <f t="shared" si="1"/>
        <v>294</v>
      </c>
      <c r="G20" s="10"/>
      <c r="H20" s="86"/>
      <c r="I20" s="86"/>
      <c r="J20" s="6"/>
      <c r="L20" s="16"/>
      <c r="M20" s="16"/>
      <c r="N20" s="16"/>
      <c r="O20" s="16"/>
      <c r="P20" s="16"/>
      <c r="Q20" s="16"/>
      <c r="R20" s="16"/>
      <c r="S20" s="16"/>
      <c r="T20" s="16"/>
      <c r="U20" s="38"/>
      <c r="V20" s="38"/>
      <c r="W20" s="38"/>
      <c r="X20" s="38"/>
      <c r="Y20" s="38"/>
      <c r="Z20" s="38"/>
    </row>
    <row r="21" spans="1:26" ht="14.25" customHeight="1" x14ac:dyDescent="0.25">
      <c r="A21" s="4"/>
      <c r="B21" s="7"/>
      <c r="C21" s="87" t="s">
        <v>39</v>
      </c>
      <c r="D21" s="87">
        <f>Q6</f>
        <v>7</v>
      </c>
      <c r="E21" s="87">
        <f t="shared" si="0"/>
        <v>309</v>
      </c>
      <c r="F21" s="87">
        <f t="shared" si="1"/>
        <v>239</v>
      </c>
      <c r="G21" s="7"/>
      <c r="H21" s="7"/>
      <c r="I21" s="7"/>
      <c r="J21" s="6"/>
      <c r="L21" s="38"/>
      <c r="M21" s="38"/>
      <c r="N21" s="38"/>
      <c r="O21" s="38"/>
      <c r="P21" s="38"/>
      <c r="Q21" s="38"/>
      <c r="R21" s="38"/>
      <c r="S21" s="38"/>
      <c r="T21" s="38"/>
      <c r="U21" s="38"/>
    </row>
    <row r="22" spans="1:26" ht="14.25" customHeight="1" x14ac:dyDescent="0.25">
      <c r="A22" s="4"/>
      <c r="B22" s="7"/>
      <c r="C22" s="86"/>
      <c r="D22" s="86"/>
      <c r="E22" s="86"/>
      <c r="F22" s="86"/>
      <c r="G22" s="7"/>
      <c r="H22" s="7"/>
      <c r="I22" s="7"/>
      <c r="J22" s="6"/>
      <c r="L22" s="38"/>
      <c r="M22" s="38"/>
      <c r="N22" s="38"/>
      <c r="O22" s="38"/>
      <c r="P22" s="38"/>
      <c r="Q22" s="38"/>
      <c r="R22" s="38"/>
      <c r="S22" s="38"/>
      <c r="T22" s="38"/>
      <c r="U22" s="38"/>
    </row>
    <row r="23" spans="1:26" ht="50.45" customHeight="1" x14ac:dyDescent="0.25">
      <c r="A23" s="4"/>
      <c r="B23" s="143" t="s">
        <v>46</v>
      </c>
      <c r="C23" s="151"/>
      <c r="D23" s="151"/>
      <c r="E23" s="151"/>
      <c r="F23" s="151"/>
      <c r="G23" s="151"/>
      <c r="H23" s="151"/>
      <c r="I23" s="151"/>
      <c r="J23" s="6"/>
      <c r="L23" s="38"/>
      <c r="M23" s="38"/>
      <c r="N23" s="38"/>
      <c r="O23" s="38"/>
      <c r="P23" s="38"/>
      <c r="Q23" s="38"/>
      <c r="R23" s="38"/>
      <c r="S23" s="38"/>
      <c r="T23" s="38"/>
      <c r="U23" s="38"/>
    </row>
    <row r="24" spans="1:26" ht="32.450000000000003" customHeight="1" x14ac:dyDescent="0.25">
      <c r="A24" s="4"/>
      <c r="B24" s="143" t="str">
        <f>O10</f>
        <v>Determine a quantidade de cada carga que deve ser transportada de forma a maximizar o lucro. Para esse cálculo utilize o método heurístico  COLÔNIA DE FORMIGAS.</v>
      </c>
      <c r="C24" s="151"/>
      <c r="D24" s="151"/>
      <c r="E24" s="151"/>
      <c r="F24" s="151"/>
      <c r="G24" s="151"/>
      <c r="H24" s="151"/>
      <c r="I24" s="151"/>
      <c r="J24" s="6"/>
      <c r="L24" s="38"/>
      <c r="M24" s="38"/>
      <c r="N24" s="38"/>
      <c r="O24" s="38"/>
      <c r="P24" s="38"/>
      <c r="Q24" s="38"/>
      <c r="R24" s="38"/>
      <c r="S24" s="38"/>
      <c r="T24" s="38"/>
      <c r="U24" s="38"/>
    </row>
    <row r="25" spans="1:26" ht="16.5" customHeight="1" x14ac:dyDescent="0.25">
      <c r="A25" s="4"/>
      <c r="B25" s="86"/>
      <c r="C25" s="86"/>
      <c r="D25" s="86"/>
      <c r="E25" s="86"/>
      <c r="F25" s="86"/>
      <c r="G25" s="86"/>
      <c r="H25" s="86"/>
      <c r="I25" s="86"/>
      <c r="J25" s="6"/>
    </row>
    <row r="26" spans="1:26" ht="15" customHeight="1" x14ac:dyDescent="0.25">
      <c r="A26" s="4"/>
      <c r="B26" s="156" t="s">
        <v>56</v>
      </c>
      <c r="C26" s="156"/>
      <c r="D26" s="156"/>
      <c r="E26" s="156"/>
      <c r="F26" s="156"/>
      <c r="G26" s="156"/>
      <c r="H26" s="156"/>
      <c r="I26" s="156"/>
      <c r="J26" s="6"/>
    </row>
    <row r="27" spans="1:26" ht="14.25" customHeight="1" x14ac:dyDescent="0.25">
      <c r="A27" s="4"/>
      <c r="B27" s="156"/>
      <c r="C27" s="156"/>
      <c r="D27" s="156"/>
      <c r="E27" s="156"/>
      <c r="F27" s="156"/>
      <c r="G27" s="156"/>
      <c r="H27" s="156"/>
      <c r="I27" s="156"/>
      <c r="J27" s="41"/>
    </row>
    <row r="28" spans="1:26" ht="14.25" customHeight="1" x14ac:dyDescent="0.25">
      <c r="A28" s="4"/>
      <c r="B28" s="86"/>
      <c r="C28" s="86"/>
      <c r="D28" s="86"/>
      <c r="E28" s="86"/>
      <c r="F28" s="86"/>
      <c r="G28" s="86"/>
      <c r="H28" s="86"/>
      <c r="I28" s="86"/>
      <c r="J28" s="41"/>
    </row>
    <row r="29" spans="1:26" ht="14.25" customHeight="1" x14ac:dyDescent="0.25">
      <c r="A29" s="4"/>
      <c r="B29" s="156" t="s">
        <v>57</v>
      </c>
      <c r="C29" s="156"/>
      <c r="D29" s="156"/>
      <c r="E29" s="156"/>
      <c r="F29" s="156"/>
      <c r="G29" s="156"/>
      <c r="H29" s="156"/>
      <c r="I29" s="156"/>
      <c r="J29" s="41"/>
    </row>
    <row r="30" spans="1:26" ht="14.25" customHeight="1" x14ac:dyDescent="0.25">
      <c r="A30" s="4"/>
      <c r="B30" s="156"/>
      <c r="C30" s="156"/>
      <c r="D30" s="156"/>
      <c r="E30" s="156"/>
      <c r="F30" s="156"/>
      <c r="G30" s="156"/>
      <c r="H30" s="156"/>
      <c r="I30" s="156"/>
      <c r="J30" s="41"/>
    </row>
    <row r="31" spans="1:26" ht="14.25" customHeight="1" thickBot="1" x14ac:dyDescent="0.3">
      <c r="A31" s="9"/>
      <c r="B31" s="11"/>
      <c r="C31" s="11"/>
      <c r="D31" s="11"/>
      <c r="E31" s="11"/>
      <c r="F31" s="11"/>
      <c r="G31" s="11"/>
      <c r="H31" s="11"/>
      <c r="I31" s="11"/>
      <c r="J31" s="42"/>
    </row>
    <row r="32" spans="1:26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</sheetData>
  <mergeCells count="15">
    <mergeCell ref="B29:I30"/>
    <mergeCell ref="B6:E6"/>
    <mergeCell ref="F6:G6"/>
    <mergeCell ref="B7:E7"/>
    <mergeCell ref="F7:G7"/>
    <mergeCell ref="B8:E8"/>
    <mergeCell ref="F8:G8"/>
    <mergeCell ref="B10:I10"/>
    <mergeCell ref="B14:I14"/>
    <mergeCell ref="B23:I23"/>
    <mergeCell ref="B24:I24"/>
    <mergeCell ref="B12:I12"/>
    <mergeCell ref="B13:I13"/>
    <mergeCell ref="C16:C17"/>
    <mergeCell ref="B26:I27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Solução</vt:lpstr>
      <vt:lpstr>Tipo03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Gilberto Antonelli</dc:creator>
  <cp:lastModifiedBy>DEP-Aluno</cp:lastModifiedBy>
  <cp:lastPrinted>2018-10-15T12:06:26Z</cp:lastPrinted>
  <dcterms:created xsi:type="dcterms:W3CDTF">2010-08-27T09:05:03Z</dcterms:created>
  <dcterms:modified xsi:type="dcterms:W3CDTF">2024-02-27T17:23:53Z</dcterms:modified>
</cp:coreProperties>
</file>